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florezo\Documents\University of Manchester\Computer Science PhD\ThesisProject\Checklist\miniMECH\"/>
    </mc:Choice>
  </mc:AlternateContent>
  <bookViews>
    <workbookView xWindow="5370" yWindow="-90" windowWidth="15600" windowHeight="9240" tabRatio="842" activeTab="3"/>
  </bookViews>
  <sheets>
    <sheet name="Checklist" sheetId="3" r:id="rId1"/>
    <sheet name="InputOptions" sheetId="4" r:id="rId2"/>
    <sheet name="MainMenu" sheetId="12" state="hidden" r:id="rId3"/>
    <sheet name="QtyScoreRule" sheetId="13" r:id="rId4"/>
    <sheet name="RuleStore" sheetId="6" r:id="rId5"/>
    <sheet name="RuleResultStore" sheetId="8" state="hidden" r:id="rId6"/>
    <sheet name="ResultMetadata" sheetId="9" state="hidden" r:id="rId7"/>
    <sheet name="RuleMetadata" sheetId="7" state="hidden" r:id="rId8"/>
    <sheet name="PaperReviewStore" sheetId="10" state="hidden" r:id="rId9"/>
    <sheet name="Sheet1" sheetId="14" state="hidden" r:id="rId10"/>
  </sheets>
  <functionGroups builtInGroupCount="18"/>
  <definedNames>
    <definedName name="item1">InputOptions!$B$4:$B$6</definedName>
    <definedName name="item10">InputOptions!$K$4:$K$6</definedName>
    <definedName name="item11">InputOptions!$L$4:$L$6</definedName>
    <definedName name="item12">InputOptions!$M$4:$M$6</definedName>
    <definedName name="item13">InputOptions!$N$4:$N$6</definedName>
    <definedName name="item14">InputOptions!$O$4:$O$6</definedName>
    <definedName name="item15">InputOptions!$P$4:$P$6</definedName>
    <definedName name="item16">InputOptions!$Q$4:$Q$6</definedName>
    <definedName name="item17">InputOptions!$R$4:$R$6</definedName>
    <definedName name="item18">InputOptions!$S$4:$S$6</definedName>
    <definedName name="item19">InputOptions!$T$4:$T$6</definedName>
    <definedName name="item2">InputOptions!$C$4:$C$6</definedName>
    <definedName name="item20">InputOptions!$U$4:$U$6</definedName>
    <definedName name="item201">InputOptions!#REF!</definedName>
    <definedName name="item202">InputOptions!#REF!</definedName>
    <definedName name="item203">InputOptions!#REF!</definedName>
    <definedName name="item204">InputOptions!#REF!</definedName>
    <definedName name="item205">InputOptions!#REF!</definedName>
    <definedName name="item206">InputOptions!#REF!</definedName>
    <definedName name="item21">InputOptions!$V$4:$V$6</definedName>
    <definedName name="item22">InputOptions!$W$4:$W$6</definedName>
    <definedName name="item23">InputOptions!$X$4:$X$6</definedName>
    <definedName name="item24">InputOptions!$Y$4:$Y$6</definedName>
    <definedName name="item25">InputOptions!$Z$4:$Z$6</definedName>
    <definedName name="item26">InputOptions!$AA$4:$AA$6</definedName>
    <definedName name="item27">InputOptions!$AB$4:$AB$6</definedName>
    <definedName name="item28">InputOptions!$AC$4:$AC$6</definedName>
    <definedName name="item29">InputOptions!$AD$4:$AD$6</definedName>
    <definedName name="item3">InputOptions!$D$4:$D$6</definedName>
    <definedName name="item30">InputOptions!$AE$4:$AE$6</definedName>
    <definedName name="item31">InputOptions!$AF$4:$AF$6</definedName>
    <definedName name="item32">InputOptions!$AG$4:$AG$6</definedName>
    <definedName name="item33">InputOptions!$AH$4:$AH$6</definedName>
    <definedName name="item34">InputOptions!$AI$4:$AI$6</definedName>
    <definedName name="item35">InputOptions!$AJ$4:$AJ$6</definedName>
    <definedName name="item36">InputOptions!$AK$4:$AK$6</definedName>
    <definedName name="item37">InputOptions!$Z$4:$Z$6</definedName>
    <definedName name="item38">InputOptions!$AA$4:$AA$6</definedName>
    <definedName name="item39">InputOptions!$AB$4:$AB$6</definedName>
    <definedName name="item4">InputOptions!$E$4:$E$6</definedName>
    <definedName name="item40">InputOptions!#REF!</definedName>
    <definedName name="item41">InputOptions!$AC$4:$AC$5</definedName>
    <definedName name="item42">InputOptions!$AD$4:$AD$5</definedName>
    <definedName name="item5">InputOptions!$F$4:$F$6</definedName>
    <definedName name="item6">InputOptions!$G$4:$G$6</definedName>
    <definedName name="item7">InputOptions!$H$4:$H$6</definedName>
    <definedName name="item8">InputOptions!$I$4:$I$6</definedName>
    <definedName name="item9">InputOptions!$J$4:$J$6</definedName>
    <definedName name="listOfDisease">InputOptions!#REF!</definedName>
    <definedName name="listOfModel">InputOptions!#REF!</definedName>
    <definedName name="listOfParasite">InputOptions!#REF!</definedName>
    <definedName name="listOfYear">InputOptions!$A$4:$A$59</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58" i="13" l="1"/>
  <c r="J57" i="13"/>
  <c r="J56" i="13"/>
  <c r="J55" i="13"/>
  <c r="J54" i="13"/>
  <c r="J53" i="13"/>
  <c r="J52" i="13"/>
  <c r="J51" i="13"/>
  <c r="J50" i="13"/>
  <c r="J49" i="13"/>
  <c r="J48" i="13"/>
  <c r="J47" i="13"/>
  <c r="J46" i="13"/>
  <c r="J45" i="13"/>
  <c r="J44" i="13"/>
  <c r="J43" i="13"/>
  <c r="J42" i="13"/>
  <c r="J41" i="13"/>
  <c r="J40" i="13"/>
  <c r="J39" i="13"/>
  <c r="J62" i="13" l="1"/>
  <c r="F40" i="13"/>
  <c r="F62" i="13"/>
  <c r="F61" i="13"/>
  <c r="F60" i="13"/>
  <c r="F59" i="13"/>
  <c r="E59" i="13"/>
  <c r="F58" i="13"/>
  <c r="F57" i="13"/>
  <c r="F56" i="13"/>
  <c r="F55" i="13"/>
  <c r="F54" i="13"/>
  <c r="F53" i="13"/>
  <c r="F52" i="13"/>
  <c r="F51" i="13"/>
  <c r="F50" i="13"/>
  <c r="F49" i="13"/>
  <c r="F48" i="13"/>
  <c r="F47" i="13"/>
  <c r="F46" i="13"/>
  <c r="F45" i="13"/>
  <c r="F44" i="13"/>
  <c r="F43" i="13"/>
  <c r="F42" i="13"/>
  <c r="F41" i="13"/>
  <c r="E41" i="13"/>
  <c r="E40" i="13"/>
  <c r="E39" i="13"/>
  <c r="J61" i="13" l="1"/>
  <c r="J60" i="13"/>
  <c r="J59" i="13"/>
  <c r="F63" i="13"/>
  <c r="E62" i="13"/>
  <c r="J63" i="13" l="1"/>
  <c r="E58" i="13"/>
  <c r="E57" i="13"/>
  <c r="E47" i="13"/>
  <c r="E48" i="13"/>
  <c r="E49" i="13"/>
  <c r="E50" i="13"/>
  <c r="E51" i="13"/>
  <c r="E52" i="13"/>
  <c r="E53" i="13"/>
  <c r="E54" i="13"/>
  <c r="E55" i="13"/>
  <c r="E46" i="13"/>
  <c r="E45" i="13"/>
  <c r="E43" i="13"/>
  <c r="A4" i="4" l="1"/>
  <c r="A5" i="4" s="1"/>
  <c r="A6" i="4" s="1"/>
  <c r="A7" i="4" s="1"/>
  <c r="A8" i="4" s="1"/>
  <c r="A9" i="4" s="1"/>
  <c r="A10" i="4" s="1"/>
  <c r="A11" i="4" s="1"/>
  <c r="A12" i="4" s="1"/>
  <c r="A13" i="4" s="1"/>
  <c r="A14" i="4" s="1"/>
  <c r="A15" i="4" s="1"/>
  <c r="A16" i="4" s="1"/>
  <c r="A17" i="4" s="1"/>
  <c r="A18" i="4" s="1"/>
  <c r="A19" i="4" s="1"/>
  <c r="A20" i="4" s="1"/>
  <c r="A21" i="4" s="1"/>
  <c r="A22" i="4" s="1"/>
  <c r="A23" i="4" s="1"/>
  <c r="A24" i="4" s="1"/>
  <c r="A25" i="4" s="1"/>
  <c r="A26" i="4" s="1"/>
  <c r="A27" i="4" s="1"/>
  <c r="A28" i="4" s="1"/>
  <c r="A29" i="4" s="1"/>
  <c r="A30" i="4" s="1"/>
  <c r="A31" i="4" s="1"/>
  <c r="A32" i="4" s="1"/>
  <c r="A33" i="4" s="1"/>
  <c r="A34" i="4" s="1"/>
  <c r="A35" i="4" s="1"/>
  <c r="A36" i="4" s="1"/>
  <c r="A37" i="4" s="1"/>
  <c r="A38" i="4" s="1"/>
  <c r="A39" i="4" s="1"/>
  <c r="A40" i="4" s="1"/>
  <c r="A41" i="4" s="1"/>
  <c r="A42" i="4" s="1"/>
  <c r="A43" i="4" s="1"/>
  <c r="A44" i="4" s="1"/>
  <c r="A45" i="4" s="1"/>
  <c r="A46" i="4" s="1"/>
  <c r="A47" i="4" s="1"/>
  <c r="A48" i="4" s="1"/>
  <c r="A49" i="4" s="1"/>
  <c r="A50" i="4" s="1"/>
  <c r="A51" i="4" s="1"/>
  <c r="A52" i="4" s="1"/>
  <c r="A53" i="4" s="1"/>
  <c r="A54" i="4" s="1"/>
  <c r="A55" i="4" s="1"/>
  <c r="A56" i="4" s="1"/>
  <c r="A57" i="4" s="1"/>
  <c r="A58" i="4" s="1"/>
  <c r="A59" i="4" s="1"/>
  <c r="E63" i="13" l="1"/>
  <c r="E61" i="13"/>
  <c r="E60" i="13"/>
  <c r="E56" i="13"/>
  <c r="E44" i="13"/>
</calcChain>
</file>

<file path=xl/sharedStrings.xml><?xml version="1.0" encoding="utf-8"?>
<sst xmlns="http://schemas.openxmlformats.org/spreadsheetml/2006/main" count="1181" uniqueCount="330">
  <si>
    <t>YES</t>
  </si>
  <si>
    <t>Item#</t>
  </si>
  <si>
    <t>Information not available</t>
  </si>
  <si>
    <t>Please input the information of the reviewed paper</t>
  </si>
  <si>
    <t>RuleID</t>
  </si>
  <si>
    <t>RuleExpression</t>
  </si>
  <si>
    <t>RuleAction</t>
  </si>
  <si>
    <t>InterFunction</t>
  </si>
  <si>
    <t>InterVariable</t>
  </si>
  <si>
    <t>InterVarAddress</t>
  </si>
  <si>
    <t>InterVarAddress2</t>
  </si>
  <si>
    <t>item1</t>
  </si>
  <si>
    <t>item2</t>
  </si>
  <si>
    <t>item3</t>
  </si>
  <si>
    <t>item4</t>
  </si>
  <si>
    <t>item5</t>
  </si>
  <si>
    <t>item6</t>
  </si>
  <si>
    <t>item7</t>
  </si>
  <si>
    <t>item8</t>
  </si>
  <si>
    <t>item9</t>
  </si>
  <si>
    <t>item10</t>
  </si>
  <si>
    <t>item11</t>
  </si>
  <si>
    <t>item12</t>
  </si>
  <si>
    <t>item13</t>
  </si>
  <si>
    <t>item14</t>
  </si>
  <si>
    <t>item15</t>
  </si>
  <si>
    <t>item16</t>
  </si>
  <si>
    <t>item17</t>
  </si>
  <si>
    <t>item18</t>
  </si>
  <si>
    <t>item19</t>
  </si>
  <si>
    <t>item21</t>
  </si>
  <si>
    <t>item22</t>
  </si>
  <si>
    <t>item23</t>
  </si>
  <si>
    <t>item24</t>
  </si>
  <si>
    <t>item25</t>
  </si>
  <si>
    <t>item26</t>
  </si>
  <si>
    <t>item27</t>
  </si>
  <si>
    <t>A</t>
  </si>
  <si>
    <t>B</t>
  </si>
  <si>
    <t>C</t>
  </si>
  <si>
    <t>D</t>
  </si>
  <si>
    <t>E</t>
  </si>
  <si>
    <t>F</t>
  </si>
  <si>
    <t>G</t>
  </si>
  <si>
    <t>H</t>
  </si>
  <si>
    <t>I</t>
  </si>
  <si>
    <t>J</t>
  </si>
  <si>
    <t>UserFunction</t>
  </si>
  <si>
    <t>UserVariable</t>
  </si>
  <si>
    <t>Result</t>
  </si>
  <si>
    <t>$C$18</t>
  </si>
  <si>
    <t>Not applicable</t>
  </si>
  <si>
    <t>$C$31</t>
  </si>
  <si>
    <t>MUST</t>
  </si>
  <si>
    <t>Please fill the fields
the fields cannot be empty</t>
  </si>
  <si>
    <t>MustBeProvided And ValueIsYes or NotMustBeProvide AND (Not ValueIsNo)</t>
  </si>
  <si>
    <t>QualityOK(item2) |= MainRule</t>
  </si>
  <si>
    <t>QualityOK(item1) |=  MainRule</t>
  </si>
  <si>
    <t>QualityOK(item3) |=MainRule</t>
  </si>
  <si>
    <t>QualityOK(item4) |= MainRule</t>
  </si>
  <si>
    <t>QualityOK(item5) |= MainRule</t>
  </si>
  <si>
    <t>QualityOK(item6) |= MainRule</t>
  </si>
  <si>
    <t>QualityOK(item7) |= MainRule</t>
  </si>
  <si>
    <t>QualityOK(item8) |= MainRule</t>
  </si>
  <si>
    <t>QualityOK(item9) |= MainRule</t>
  </si>
  <si>
    <t>QualityOK(item10) |= MainRule</t>
  </si>
  <si>
    <t>QualityOK(item11) |= MainRule</t>
  </si>
  <si>
    <t>QualityOK(item12) |= MainRule</t>
  </si>
  <si>
    <t>QualityOK(item13) |= MainRule</t>
  </si>
  <si>
    <t>QualityOK(item14) |= MainRule</t>
  </si>
  <si>
    <t>QualityOK(item15) |= MainRule</t>
  </si>
  <si>
    <t>QualityOK(item16) |= MainRule</t>
  </si>
  <si>
    <t>QualityOK(item17) |= MainRule</t>
  </si>
  <si>
    <t>QualityOK(item18) |= MainRule</t>
  </si>
  <si>
    <t>QualityOK(item19) |= MainRule</t>
  </si>
  <si>
    <t>QualityOK(item21) |= MainRule</t>
  </si>
  <si>
    <t>QualityOK(item22) |= MainRule</t>
  </si>
  <si>
    <t>QualityOK(item23) |= MainRule</t>
  </si>
  <si>
    <t>QualityOK(item24) |= MainRule</t>
  </si>
  <si>
    <t>QualityOK(item25) |= MainRule</t>
  </si>
  <si>
    <t>QualityOK(item26) |= MainRule</t>
  </si>
  <si>
    <t>QualityOK(item27) |= MainRule</t>
  </si>
  <si>
    <t>Please answer the following questions according to
 the information reported in the experiment.</t>
  </si>
  <si>
    <t>Paper #</t>
  </si>
  <si>
    <t>Please provide the PMID</t>
  </si>
  <si>
    <t>Item groups</t>
  </si>
  <si>
    <t>Not (MustBeProvided and ValueIsInformationNotAvailable)</t>
  </si>
  <si>
    <t>Must</t>
  </si>
  <si>
    <t>Not demanded</t>
  </si>
  <si>
    <t>Weight (%)</t>
  </si>
  <si>
    <t>ScoreOfRank</t>
  </si>
  <si>
    <t>Rank of Importance</t>
  </si>
  <si>
    <t>Score of Mandatory</t>
  </si>
  <si>
    <t>Domain Mandatory Requirement</t>
  </si>
  <si>
    <t>Score of Rank</t>
  </si>
  <si>
    <t>Not Demanded</t>
  </si>
  <si>
    <t>ScoreOfItem</t>
  </si>
  <si>
    <t>ScoreTotal</t>
  </si>
  <si>
    <t>OtherInterVariable</t>
  </si>
  <si>
    <t>ItemID</t>
  </si>
  <si>
    <t>ItemDescription</t>
  </si>
  <si>
    <t>DomainMandatory</t>
  </si>
  <si>
    <t>RankOfImportance</t>
  </si>
  <si>
    <t>StartRow</t>
  </si>
  <si>
    <t>EndRow</t>
  </si>
  <si>
    <t>QtyFullScore</t>
  </si>
  <si>
    <t>QtyWeight</t>
  </si>
  <si>
    <t>QtyFinalScore</t>
  </si>
  <si>
    <t>item</t>
  </si>
  <si>
    <t>Prefix</t>
  </si>
  <si>
    <t>Color</t>
  </si>
  <si>
    <t>QtyScoreBand</t>
  </si>
  <si>
    <t>MinScore</t>
  </si>
  <si>
    <t>MaxScore</t>
  </si>
  <si>
    <t>Red</t>
  </si>
  <si>
    <t>Yellow</t>
  </si>
  <si>
    <t>Green</t>
  </si>
  <si>
    <t>Please provide author name</t>
  </si>
  <si>
    <t>Please provide year</t>
  </si>
  <si>
    <t>$C$20</t>
  </si>
  <si>
    <t>$C$21</t>
  </si>
  <si>
    <t>$C$25</t>
  </si>
  <si>
    <t>$C$26</t>
  </si>
  <si>
    <t>$C$32</t>
  </si>
  <si>
    <t>listOfYear</t>
  </si>
  <si>
    <t>QualityOK</t>
  </si>
  <si>
    <t>Title</t>
  </si>
  <si>
    <t>Funding</t>
  </si>
  <si>
    <t>Objectives</t>
  </si>
  <si>
    <t>Methods</t>
  </si>
  <si>
    <t>General Information</t>
  </si>
  <si>
    <t>Quality of Methods</t>
  </si>
  <si>
    <t>Quality of General Information</t>
  </si>
  <si>
    <t>Quality of the Article</t>
  </si>
  <si>
    <t>K</t>
  </si>
  <si>
    <t>L</t>
  </si>
  <si>
    <t>M</t>
  </si>
  <si>
    <t>N</t>
  </si>
  <si>
    <t>O</t>
  </si>
  <si>
    <t>P</t>
  </si>
  <si>
    <t>Q</t>
  </si>
  <si>
    <t>R</t>
  </si>
  <si>
    <t>S</t>
  </si>
  <si>
    <t>T</t>
  </si>
  <si>
    <t>ReportingInfo</t>
  </si>
  <si>
    <t>QualityOK(item20) |= MainRule</t>
  </si>
  <si>
    <t>QualityOK(A)|=QualityOK(item1)</t>
  </si>
  <si>
    <t>QualityOK(B)|=QualityOK(item2)</t>
  </si>
  <si>
    <t>GenInfo</t>
  </si>
  <si>
    <t>item20</t>
  </si>
  <si>
    <t>$C$19</t>
  </si>
  <si>
    <t>$C$22</t>
  </si>
  <si>
    <t>$C$27</t>
  </si>
  <si>
    <t>$C$28</t>
  </si>
  <si>
    <t>$C$29</t>
  </si>
  <si>
    <t>$C$34</t>
  </si>
  <si>
    <t>$C$35</t>
  </si>
  <si>
    <t>$C$36</t>
  </si>
  <si>
    <t>$C$37</t>
  </si>
  <si>
    <t>$C$38</t>
  </si>
  <si>
    <t>$C$40</t>
  </si>
  <si>
    <t>$C$41</t>
  </si>
  <si>
    <t>$C$42</t>
  </si>
  <si>
    <t>MethInfo</t>
  </si>
  <si>
    <t>Paper Information</t>
  </si>
  <si>
    <t>Paper Reviews</t>
  </si>
  <si>
    <t>Quality of Results</t>
  </si>
  <si>
    <t>Quality of Discussion</t>
  </si>
  <si>
    <t>ResInfo</t>
  </si>
  <si>
    <t>DisInfo</t>
  </si>
  <si>
    <t>QualityOK(ReportingInfo) |= QualityOK(GenInfo) AND QualityOK(MethInfo) AND QualityOK(ResInfo) AND QualityOK(DisInfo)</t>
  </si>
  <si>
    <t>$C$16</t>
  </si>
  <si>
    <t>$C$17</t>
  </si>
  <si>
    <t>$G$16</t>
  </si>
  <si>
    <t>$G$17</t>
  </si>
  <si>
    <t>$G$18</t>
  </si>
  <si>
    <t>$G$19</t>
  </si>
  <si>
    <t>$G$20</t>
  </si>
  <si>
    <t>$G$21</t>
  </si>
  <si>
    <t>$G$22</t>
  </si>
  <si>
    <t>$G$23</t>
  </si>
  <si>
    <t>$G$24</t>
  </si>
  <si>
    <t>$G$25</t>
  </si>
  <si>
    <t>$G$26</t>
  </si>
  <si>
    <t>$G$27</t>
  </si>
  <si>
    <t>$G$28</t>
  </si>
  <si>
    <t>$G$29</t>
  </si>
  <si>
    <t>$G$30</t>
  </si>
  <si>
    <t>$G$31</t>
  </si>
  <si>
    <t>$G$32</t>
  </si>
  <si>
    <t>$G$33</t>
  </si>
  <si>
    <t>$G$34</t>
  </si>
  <si>
    <t>$G$35</t>
  </si>
  <si>
    <t>$G$36</t>
  </si>
  <si>
    <t>$G$37</t>
  </si>
  <si>
    <t>$G$38</t>
  </si>
  <si>
    <t>$G$39</t>
  </si>
  <si>
    <t>$G$40</t>
  </si>
  <si>
    <t>$G$41</t>
  </si>
  <si>
    <t>$G$42</t>
  </si>
  <si>
    <t>$G$4</t>
  </si>
  <si>
    <t>$G$5</t>
  </si>
  <si>
    <t>$G$6</t>
  </si>
  <si>
    <t>$G$7</t>
  </si>
  <si>
    <t>$G$8</t>
  </si>
  <si>
    <t>The ARRIVE guidelines Animal Research: Reporting In Vivo Experiments</t>
  </si>
  <si>
    <t>Provide as accurate and concise a description of the content of the article as possible.</t>
  </si>
  <si>
    <t>Abstract</t>
  </si>
  <si>
    <t>Provide an accurate summary of the background, research objectives, including details of the species or strain of animal used, key methods, principal findings and conclusions of the study.</t>
  </si>
  <si>
    <t>Background</t>
  </si>
  <si>
    <t>Include sufficient scientific background (including relevant references to previous work) to understand the motivation and context for the study, and explain the experimental approach and rationale.</t>
  </si>
  <si>
    <t>Explain how and why the animal species and model being used can address the scientific objectives and, where appropriate, the study’s relevance to human biology.</t>
  </si>
  <si>
    <t>Clearly describe the primary and any secondary objectives of the study, or specific hypotheses being tested.</t>
  </si>
  <si>
    <t>Ethical statement</t>
  </si>
  <si>
    <t>Indicate the nature of the ethical review permissions, relevant licences (e.g. Animal [Scientific Procedures] Act 1986), and national or institutional guidelines for the care and use of animals, that cover the research.</t>
  </si>
  <si>
    <t>Study design</t>
  </si>
  <si>
    <t>Give brief details of the number of experimental and control groups</t>
  </si>
  <si>
    <t>Give brief details of the experimental unit (e.g. a single animal, group or cage of animals).</t>
  </si>
  <si>
    <t>Include a time-line diagram or flow chart can be useful to illustrate how complex study designs were carried out.</t>
  </si>
  <si>
    <t>Give brief details of any steps taken to minimise the effects of subjective bias when allocating animals to treatment (e.g. randomisation procedure) and when assessing results (e.g. if done, escribe who was blinded and when).</t>
  </si>
  <si>
    <t>Experimental procedure</t>
  </si>
  <si>
    <t>For each experiment and each experimental group, including controls, provide precise details of all procedures carried out.
For example:
a. How (e.g. drug formulation and dose, site and route of administration, anaesthesia and analgesia used [including monitoring], surgical procedure, method of euthanasia). Provide details of any specialist equipment used, including supplier(s).
b.When (e.g. time of day).
c.Where (e.g. home cage, laboratory, water maze).
d. Why (e.g. rationale for choice of specific anaesthetic, route of administration, drug dose used).</t>
  </si>
  <si>
    <t>Experimental animals</t>
  </si>
  <si>
    <t>Provide details of the animals used, including species, strain, sex, developmental stage (e.g. mean or median age plus age range) and weight (e.g. mean or median weight plus weight range).</t>
  </si>
  <si>
    <t>Provide further relevant information such as the source of animals, international strain nomenclature, genetic modification status (e.g. knock-out or transgenic), genotype, health/immune status, drug or test naïve, previous procedures, etc.</t>
  </si>
  <si>
    <t>Housing and Husbandry</t>
  </si>
  <si>
    <t>Provide details of housing (type of facility e.g. specific pathogen free [SPF]; type of cage or housing; bedding material; number of cage companions; tank shape and material etc. for fish).</t>
  </si>
  <si>
    <t>Provide details of husbandry conditions (e.g. breeding programme, light/dark cycle, temperature, quality of water etc for fish, type of food, access to food and water, environmental enrichment).</t>
  </si>
  <si>
    <t>Provide details of welfare-related assessments and interventions that were carried out prior to, during, or after the experiment.</t>
  </si>
  <si>
    <t>Sample size</t>
  </si>
  <si>
    <t>Specify the total number of animals used in each experiment, and the number of animals in each experimental group.</t>
  </si>
  <si>
    <t>Explain how the number of animals was arrived at. Provide details of any sample size calculation used.</t>
  </si>
  <si>
    <t>Indicate the number of independent replications of each experiment, if relevant.</t>
  </si>
  <si>
    <t>Allocating animals to experimental groups</t>
  </si>
  <si>
    <t>Give full details of how animals were allocated to experimental groups, including randomisation or matching if done.</t>
  </si>
  <si>
    <t>Describe the order in which the animals in the different experimental groups were treated and assessed.</t>
  </si>
  <si>
    <t>Experimental outcomes</t>
  </si>
  <si>
    <t>Clearly define the primary and secondary experimental outcomes assessed (e.g. cell death, molecular markers, behavioural changes).</t>
  </si>
  <si>
    <t>Statistical methods</t>
  </si>
  <si>
    <t>Provide details of the statistical methods used for each analysis.</t>
  </si>
  <si>
    <t>Specify the unit of analysis for each dataset (e.g. single animal, group of animals, single neuron).</t>
  </si>
  <si>
    <t>Describe any methods used to assess whether the data met the assumptions of the statistical approach.</t>
  </si>
  <si>
    <t>Baseline data</t>
  </si>
  <si>
    <t>For each experimental group, report relevant characteristics and health status of animals (e.g. weight, microbiological status, and drug or test naïve) prior to treatment or testing. (This information can often be tabulated).</t>
  </si>
  <si>
    <t>Numbers analysed</t>
  </si>
  <si>
    <t>Report the number of animals in each group included in each analysis. Report absolute numbers (e.g. 10/20, not 50%).</t>
  </si>
  <si>
    <t>If any animals or data were not included in the analysis, explain why.</t>
  </si>
  <si>
    <t>Outcomes and Estimation</t>
  </si>
  <si>
    <t>Report the results for each analysis carried out, with a measure of precision (e.g. standard error or confidence interval).</t>
  </si>
  <si>
    <t>Give details of all important adverse events in each experimental group.</t>
  </si>
  <si>
    <t>Describe any modifications to the experimental protocols made to reduce adverse events.</t>
  </si>
  <si>
    <t>Adverse events</t>
  </si>
  <si>
    <t>Interpret the results, taking into account the study objectives and hypotheses, current theory and other relevant studies in the literature.</t>
  </si>
  <si>
    <t>Comment on the study limitations including any potential sources of bias, any limitations of the animal model, and the imprecision associated with the results.</t>
  </si>
  <si>
    <t>Describe any implications of your experimental methods or findings for the replacement, refinement or reduction (the 3Rs) of the use of animals in research.</t>
  </si>
  <si>
    <t>Interpretation / Scientific implications</t>
  </si>
  <si>
    <t>Generalisability</t>
  </si>
  <si>
    <t>Comment on whether, and how, the findings of this study are likely to translate to other species or systems, including any relevance to human biology.</t>
  </si>
  <si>
    <t>List all funding sources (including grant number) and the role of the funder(s) in the study.</t>
  </si>
  <si>
    <t>Results</t>
  </si>
  <si>
    <t>Discussion</t>
  </si>
  <si>
    <t>QualityOK(item28) |= MainRule</t>
  </si>
  <si>
    <t>QualityOK(item29) |= MainRule</t>
  </si>
  <si>
    <t>QualityOK(item30) |= MainRule</t>
  </si>
  <si>
    <t>QualityOK(item31) |= MainRule</t>
  </si>
  <si>
    <t>QualityOK(item32) |= MainRule</t>
  </si>
  <si>
    <t>QualityOK(item33) |= MainRule</t>
  </si>
  <si>
    <t>QualityOK(item34) |= MainRule</t>
  </si>
  <si>
    <t>QualityOK(item35) |= MainRule</t>
  </si>
  <si>
    <t>QualityOK(item36) |= MainRule</t>
  </si>
  <si>
    <t>QualityOK(C)|=QualityOK(item3) AND QualityOK(item4)</t>
  </si>
  <si>
    <t>QualityOK(D)|=QualityOK(item5)</t>
  </si>
  <si>
    <t>QualityOK(E)|=QualityOK(item6)</t>
  </si>
  <si>
    <t>QualityOK(F)|=QualityOK(item7) AND QualityOK(item8) AND QualityOK(item9) AND QualityOK(item10)</t>
  </si>
  <si>
    <t>QualityOK(G)|=QualityOK(item11)</t>
  </si>
  <si>
    <t>QualityOK(H)|=QualityOK(item12) AND QualityOK(item13)</t>
  </si>
  <si>
    <t>QualityOK(I)|=QualityOK(item14) AND QualityOK(item15) AND QualityOK(item16)</t>
  </si>
  <si>
    <t>QualityOK(J)|=QualityOK(item17) AND QualityOK(item18) AND QualityOK(item19)</t>
  </si>
  <si>
    <t>QualityOK(K)|=QualityOK(item20) AND QualityOK(item21)</t>
  </si>
  <si>
    <t>QualityOK(L)|=QualityOK(item22)</t>
  </si>
  <si>
    <t>QualityOK(M)|=QualityOK(item23) AND QualityOK(item24) AND QualityOK(item25)</t>
  </si>
  <si>
    <t>QualityOK(N)|=QualityOK(item26)</t>
  </si>
  <si>
    <t>QualityOK(O)|=QualityOK(item27) AND QualityOK(item28)</t>
  </si>
  <si>
    <t>QualityOK(P)|=QualityOK(item29)</t>
  </si>
  <si>
    <t>QualityOK(Q)|=QualityOK(item30) AND QualityOK(item31)</t>
  </si>
  <si>
    <t>QualityOK(MethInfo) |= QualityOK(E) AND QualityOK(F) AND QualityOK(G) AND QualityOK(H) AND QualityOK(I) AND QualityOK(J) AND QualityOK(K) AND QualityOK(L) AND QualityOK(M)</t>
  </si>
  <si>
    <r>
      <t xml:space="preserve">QualityOK(DisInfo) |= </t>
    </r>
    <r>
      <rPr>
        <sz val="11"/>
        <rFont val="Calibri"/>
        <family val="2"/>
        <scheme val="minor"/>
      </rPr>
      <t>QualityOK(R) AND QualityOK(S) AND QualityOK(T)</t>
    </r>
  </si>
  <si>
    <t>QualityOK(R)|=QualityOK(item32) AND QualityOK(item33) AND QualityOK(item34)</t>
  </si>
  <si>
    <t>QualityOK(S)|=QualityOK(item35)</t>
  </si>
  <si>
    <t>QualityOK(T)|=QualityOK(item36)</t>
  </si>
  <si>
    <t>item28</t>
  </si>
  <si>
    <t>$G$43</t>
  </si>
  <si>
    <t>item29</t>
  </si>
  <si>
    <t>$G$44</t>
  </si>
  <si>
    <t>item30</t>
  </si>
  <si>
    <t>$G$45</t>
  </si>
  <si>
    <t>item31</t>
  </si>
  <si>
    <t>$G$46</t>
  </si>
  <si>
    <t>item32</t>
  </si>
  <si>
    <t>$G$47</t>
  </si>
  <si>
    <t>item33</t>
  </si>
  <si>
    <t>$G$48</t>
  </si>
  <si>
    <t>item34</t>
  </si>
  <si>
    <t>$G$49</t>
  </si>
  <si>
    <t>item35</t>
  </si>
  <si>
    <t>$G$50</t>
  </si>
  <si>
    <t>item36</t>
  </si>
  <si>
    <t>$G$51</t>
  </si>
  <si>
    <t>$C$43</t>
  </si>
  <si>
    <t>$C$44</t>
  </si>
  <si>
    <t>$C$45</t>
  </si>
  <si>
    <t>$C$46</t>
  </si>
  <si>
    <t>$C$47</t>
  </si>
  <si>
    <t>$C$49</t>
  </si>
  <si>
    <t>$C$50</t>
  </si>
  <si>
    <t>$C$51</t>
  </si>
  <si>
    <t>QualityOK(GenInfo) |= QualityOK(A) AND QualityOK(B) AND QualityOK(C) AND QualityOK(D)</t>
  </si>
  <si>
    <t>QualityOK(ResInfo) |=  QualityOK(N) AND QualityOK(O) AND QualityOK(P) AND QualityOK(Q)</t>
  </si>
  <si>
    <t>QUALITYOK</t>
  </si>
  <si>
    <t>ISNULL</t>
  </si>
  <si>
    <t>VALUE</t>
  </si>
  <si>
    <t>DOMAINVALUES</t>
  </si>
  <si>
    <t>NOTAPPLICABLE</t>
  </si>
  <si>
    <t>PMID</t>
  </si>
  <si>
    <t>REVIEWNAME</t>
  </si>
  <si>
    <t>REVIEWVALUE</t>
  </si>
  <si>
    <t>AUTHOR</t>
  </si>
  <si>
    <t>PUBLICATIONYEAR</t>
  </si>
  <si>
    <t>FLOREZ O</t>
  </si>
  <si>
    <t>BRAMHALL</t>
  </si>
</sst>
</file>

<file path=xl/styles.xml><?xml version="1.0" encoding="utf-8"?>
<styleSheet xmlns="http://schemas.openxmlformats.org/spreadsheetml/2006/main" xmlns:mc="http://schemas.openxmlformats.org/markup-compatibility/2006" xmlns:x14ac="http://schemas.microsoft.com/office/spreadsheetml/2009/9/ac" mc:Ignorable="x14ac">
  <fonts count="25">
    <font>
      <sz val="11"/>
      <color theme="1"/>
      <name val="Calibri"/>
      <family val="2"/>
      <scheme val="minor"/>
    </font>
    <font>
      <b/>
      <sz val="11"/>
      <color theme="1"/>
      <name val="Calibri"/>
      <family val="2"/>
      <scheme val="minor"/>
    </font>
    <font>
      <sz val="10"/>
      <color theme="1"/>
      <name val="Calibri"/>
      <family val="2"/>
      <scheme val="minor"/>
    </font>
    <font>
      <b/>
      <sz val="10"/>
      <color rgb="FF0070C0"/>
      <name val="Calibri"/>
      <family val="2"/>
      <scheme val="minor"/>
    </font>
    <font>
      <b/>
      <sz val="10"/>
      <color rgb="FFFF0000"/>
      <name val="Calibri"/>
      <family val="2"/>
      <scheme val="minor"/>
    </font>
    <font>
      <sz val="9"/>
      <name val="Calibri"/>
      <family val="3"/>
      <charset val="134"/>
      <scheme val="minor"/>
    </font>
    <font>
      <b/>
      <i/>
      <sz val="10"/>
      <color theme="1"/>
      <name val="Calibri"/>
      <family val="2"/>
      <scheme val="minor"/>
    </font>
    <font>
      <sz val="11"/>
      <color theme="1"/>
      <name val="Calibri"/>
      <family val="2"/>
      <scheme val="minor"/>
    </font>
    <font>
      <sz val="12"/>
      <color theme="1"/>
      <name val="Calibri"/>
      <family val="2"/>
    </font>
    <font>
      <b/>
      <sz val="12"/>
      <color theme="1"/>
      <name val="Calibri"/>
      <family val="2"/>
    </font>
    <font>
      <b/>
      <sz val="18"/>
      <color theme="7" tint="0.39997558519241921"/>
      <name val="Calibri"/>
      <family val="2"/>
      <scheme val="minor"/>
    </font>
    <font>
      <b/>
      <i/>
      <sz val="10"/>
      <name val="Calibri"/>
      <family val="2"/>
      <scheme val="minor"/>
    </font>
    <font>
      <b/>
      <sz val="9"/>
      <color theme="1"/>
      <name val="Calibri"/>
      <family val="2"/>
      <scheme val="minor"/>
    </font>
    <font>
      <sz val="9"/>
      <color theme="1"/>
      <name val="Calibri"/>
      <family val="2"/>
      <scheme val="minor"/>
    </font>
    <font>
      <sz val="9"/>
      <color rgb="FF000000"/>
      <name val="Calibri"/>
      <family val="2"/>
      <scheme val="minor"/>
    </font>
    <font>
      <b/>
      <sz val="11"/>
      <name val="Calibri"/>
      <family val="2"/>
      <scheme val="minor"/>
    </font>
    <font>
      <sz val="11"/>
      <name val="Calibri"/>
      <family val="2"/>
      <scheme val="minor"/>
    </font>
    <font>
      <b/>
      <sz val="11"/>
      <color theme="0"/>
      <name val="Calibri"/>
      <family val="2"/>
      <scheme val="minor"/>
    </font>
    <font>
      <b/>
      <sz val="10"/>
      <color theme="0"/>
      <name val="Calibri"/>
      <family val="2"/>
      <scheme val="minor"/>
    </font>
    <font>
      <b/>
      <sz val="10"/>
      <color theme="1"/>
      <name val="Calibri"/>
      <family val="2"/>
      <scheme val="minor"/>
    </font>
    <font>
      <b/>
      <sz val="9"/>
      <color rgb="FF000000"/>
      <name val="Calibri"/>
      <family val="2"/>
      <scheme val="minor"/>
    </font>
    <font>
      <b/>
      <sz val="15"/>
      <color theme="0"/>
      <name val="Calibri"/>
      <family val="2"/>
      <scheme val="minor"/>
    </font>
    <font>
      <sz val="11"/>
      <color rgb="FFFF0000"/>
      <name val="Calibri"/>
      <family val="2"/>
      <scheme val="minor"/>
    </font>
    <font>
      <b/>
      <sz val="10"/>
      <name val="Calibri"/>
      <family val="2"/>
      <scheme val="minor"/>
    </font>
    <font>
      <b/>
      <sz val="9"/>
      <name val="Calibri"/>
      <family val="2"/>
      <scheme val="minor"/>
    </font>
  </fonts>
  <fills count="19">
    <fill>
      <patternFill patternType="none"/>
    </fill>
    <fill>
      <patternFill patternType="gray125"/>
    </fill>
    <fill>
      <patternFill patternType="solid">
        <fgColor rgb="FFFFFFCC"/>
      </patternFill>
    </fill>
    <fill>
      <patternFill patternType="solid">
        <fgColor theme="4" tint="0.59999389629810485"/>
        <bgColor indexed="64"/>
      </patternFill>
    </fill>
    <fill>
      <patternFill patternType="solid">
        <fgColor theme="0"/>
        <bgColor indexed="64"/>
      </patternFill>
    </fill>
    <fill>
      <patternFill patternType="solid">
        <fgColor theme="8" tint="0.39997558519241921"/>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3" tint="0.39997558519241921"/>
        <bgColor indexed="64"/>
      </patternFill>
    </fill>
    <fill>
      <patternFill patternType="solid">
        <fgColor theme="3" tint="-0.499984740745262"/>
        <bgColor indexed="64"/>
      </patternFill>
    </fill>
    <fill>
      <patternFill patternType="solid">
        <fgColor rgb="FFFF0000"/>
        <bgColor indexed="64"/>
      </patternFill>
    </fill>
    <fill>
      <patternFill patternType="solid">
        <fgColor indexed="15"/>
        <bgColor indexed="64"/>
      </patternFill>
    </fill>
    <fill>
      <patternFill patternType="solid">
        <fgColor rgb="FFFF6699"/>
        <bgColor indexed="64"/>
      </patternFill>
    </fill>
    <fill>
      <patternFill patternType="solid">
        <fgColor theme="9" tint="0.79998168889431442"/>
        <bgColor indexed="64"/>
      </patternFill>
    </fill>
    <fill>
      <patternFill patternType="solid">
        <fgColor indexed="11"/>
        <bgColor indexed="64"/>
      </patternFill>
    </fill>
    <fill>
      <patternFill patternType="solid">
        <fgColor theme="5" tint="0.79998168889431442"/>
        <bgColor indexed="64"/>
      </patternFill>
    </fill>
  </fills>
  <borders count="39">
    <border>
      <left/>
      <right/>
      <top/>
      <bottom/>
      <diagonal/>
    </border>
    <border>
      <left style="medium">
        <color indexed="64"/>
      </left>
      <right/>
      <top/>
      <bottom style="medium">
        <color indexed="64"/>
      </bottom>
      <diagonal/>
    </border>
    <border>
      <left/>
      <right/>
      <top/>
      <bottom style="medium">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thick">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s>
  <cellStyleXfs count="3">
    <xf numFmtId="0" fontId="0" fillId="0" borderId="0"/>
    <xf numFmtId="0" fontId="7" fillId="2" borderId="3" applyNumberFormat="0" applyFont="0" applyAlignment="0" applyProtection="0"/>
    <xf numFmtId="0" fontId="7" fillId="0" borderId="0"/>
  </cellStyleXfs>
  <cellXfs count="228">
    <xf numFmtId="0" fontId="0" fillId="0" borderId="0" xfId="0"/>
    <xf numFmtId="0" fontId="0" fillId="0" borderId="0" xfId="0" applyFont="1" applyAlignment="1">
      <alignment wrapText="1"/>
    </xf>
    <xf numFmtId="0" fontId="0" fillId="3" borderId="0" xfId="0" applyFill="1"/>
    <xf numFmtId="0" fontId="0" fillId="3" borderId="0" xfId="0" applyFill="1" applyAlignment="1">
      <alignment wrapText="1"/>
    </xf>
    <xf numFmtId="0" fontId="0" fillId="7" borderId="0" xfId="0" applyFill="1"/>
    <xf numFmtId="0" fontId="1" fillId="4" borderId="0" xfId="0" applyFont="1" applyFill="1" applyAlignment="1" applyProtection="1">
      <alignment readingOrder="1"/>
      <protection locked="0"/>
    </xf>
    <xf numFmtId="0" fontId="1" fillId="4" borderId="0" xfId="0" applyFont="1" applyFill="1" applyAlignment="1" applyProtection="1">
      <alignment horizontal="center" readingOrder="1"/>
      <protection locked="0"/>
    </xf>
    <xf numFmtId="0" fontId="0" fillId="4" borderId="0" xfId="0" applyFill="1" applyAlignment="1" applyProtection="1">
      <alignment readingOrder="1"/>
      <protection locked="0"/>
    </xf>
    <xf numFmtId="0" fontId="0" fillId="0" borderId="0" xfId="0" applyAlignment="1" applyProtection="1">
      <alignment wrapText="1" readingOrder="1"/>
      <protection locked="0"/>
    </xf>
    <xf numFmtId="0" fontId="2" fillId="0" borderId="0" xfId="0" applyFont="1" applyAlignment="1" applyProtection="1">
      <alignment readingOrder="1"/>
      <protection locked="0"/>
    </xf>
    <xf numFmtId="0" fontId="0" fillId="4" borderId="0" xfId="0" applyFill="1" applyAlignment="1" applyProtection="1">
      <alignment wrapText="1" readingOrder="1"/>
      <protection locked="0"/>
    </xf>
    <xf numFmtId="0" fontId="2" fillId="0" borderId="0" xfId="0" applyFont="1" applyAlignment="1" applyProtection="1">
      <alignment wrapText="1" readingOrder="1"/>
      <protection locked="0"/>
    </xf>
    <xf numFmtId="0" fontId="0" fillId="0" borderId="0" xfId="0" applyAlignment="1" applyProtection="1">
      <alignment wrapText="1"/>
    </xf>
    <xf numFmtId="0" fontId="0" fillId="0" borderId="0" xfId="0" applyProtection="1"/>
    <xf numFmtId="0" fontId="3" fillId="0" borderId="0" xfId="0" applyFont="1" applyAlignment="1" applyProtection="1">
      <alignment vertical="top" wrapText="1"/>
    </xf>
    <xf numFmtId="0" fontId="0" fillId="0" borderId="0" xfId="0" applyAlignment="1" applyProtection="1">
      <alignment vertical="top" wrapText="1"/>
    </xf>
    <xf numFmtId="0" fontId="0" fillId="0" borderId="0" xfId="0" applyAlignment="1" applyProtection="1">
      <alignment vertical="top"/>
    </xf>
    <xf numFmtId="0" fontId="4" fillId="0" borderId="0" xfId="0" applyFont="1" applyAlignment="1" applyProtection="1">
      <alignment vertical="top" wrapText="1"/>
    </xf>
    <xf numFmtId="0" fontId="2" fillId="0" borderId="0" xfId="0" applyFont="1" applyAlignment="1" applyProtection="1">
      <alignment vertical="top" wrapText="1"/>
    </xf>
    <xf numFmtId="0" fontId="1" fillId="8" borderId="0" xfId="0" applyFont="1" applyFill="1" applyProtection="1"/>
    <xf numFmtId="0" fontId="1" fillId="8" borderId="0" xfId="0" applyFont="1" applyFill="1" applyAlignment="1" applyProtection="1">
      <alignment horizontal="left" wrapText="1"/>
    </xf>
    <xf numFmtId="0" fontId="0" fillId="8" borderId="0" xfId="0" applyFill="1" applyProtection="1"/>
    <xf numFmtId="0" fontId="16" fillId="0" borderId="0" xfId="0" applyFont="1" applyFill="1" applyAlignment="1" applyProtection="1">
      <alignment readingOrder="1"/>
      <protection locked="0"/>
    </xf>
    <xf numFmtId="0" fontId="12" fillId="0" borderId="11" xfId="0" applyFont="1" applyBorder="1" applyAlignment="1" applyProtection="1">
      <alignment wrapText="1" readingOrder="1"/>
    </xf>
    <xf numFmtId="0" fontId="12" fillId="0" borderId="12" xfId="0" applyFont="1" applyBorder="1" applyAlignment="1" applyProtection="1">
      <alignment wrapText="1" readingOrder="1"/>
    </xf>
    <xf numFmtId="0" fontId="12" fillId="0" borderId="13" xfId="0" applyFont="1" applyBorder="1" applyAlignment="1" applyProtection="1">
      <alignment wrapText="1" readingOrder="1"/>
    </xf>
    <xf numFmtId="0" fontId="6" fillId="4" borderId="0" xfId="0" applyFont="1" applyFill="1" applyBorder="1" applyAlignment="1" applyProtection="1">
      <alignment wrapText="1" readingOrder="1"/>
    </xf>
    <xf numFmtId="0" fontId="12" fillId="0" borderId="11" xfId="0" applyFont="1" applyFill="1" applyBorder="1" applyAlignment="1" applyProtection="1">
      <alignment wrapText="1" readingOrder="1"/>
    </xf>
    <xf numFmtId="0" fontId="10" fillId="9" borderId="8" xfId="0" applyFont="1" applyFill="1" applyBorder="1" applyAlignment="1" applyProtection="1">
      <alignment horizontal="center" vertical="center" readingOrder="1"/>
    </xf>
    <xf numFmtId="0" fontId="14" fillId="0" borderId="11" xfId="0" applyFont="1" applyFill="1" applyBorder="1" applyAlignment="1" applyProtection="1">
      <alignment horizontal="center" vertical="center" wrapText="1" readingOrder="1"/>
      <protection locked="0"/>
    </xf>
    <xf numFmtId="0" fontId="14" fillId="0" borderId="12" xfId="0" applyFont="1" applyFill="1" applyBorder="1" applyAlignment="1" applyProtection="1">
      <alignment horizontal="center" vertical="center" wrapText="1" readingOrder="1"/>
      <protection locked="0"/>
    </xf>
    <xf numFmtId="0" fontId="7" fillId="0" borderId="0" xfId="2"/>
    <xf numFmtId="0" fontId="13" fillId="0" borderId="11" xfId="0" applyFont="1" applyFill="1" applyBorder="1" applyAlignment="1" applyProtection="1">
      <alignment horizontal="center" vertical="center" wrapText="1" readingOrder="1"/>
      <protection locked="0"/>
    </xf>
    <xf numFmtId="0" fontId="14" fillId="0" borderId="13" xfId="0" applyFont="1" applyFill="1" applyBorder="1" applyAlignment="1" applyProtection="1">
      <alignment horizontal="center" vertical="center" wrapText="1" readingOrder="1"/>
      <protection locked="0"/>
    </xf>
    <xf numFmtId="0" fontId="0" fillId="0" borderId="0" xfId="0" applyAlignment="1" applyProtection="1">
      <alignment horizontal="center" vertical="center" wrapText="1"/>
    </xf>
    <xf numFmtId="0" fontId="0" fillId="5" borderId="4" xfId="0" applyFill="1" applyBorder="1" applyAlignment="1" applyProtection="1">
      <alignment horizontal="center" vertical="center" wrapText="1"/>
    </xf>
    <xf numFmtId="0" fontId="8" fillId="0" borderId="0" xfId="0" applyFont="1" applyAlignment="1" applyProtection="1">
      <alignment horizontal="center" vertical="center" wrapText="1" readingOrder="1"/>
    </xf>
    <xf numFmtId="0" fontId="0" fillId="0" borderId="0" xfId="0" applyAlignment="1" applyProtection="1">
      <alignment horizontal="left" vertical="center" wrapText="1" readingOrder="1"/>
    </xf>
    <xf numFmtId="0" fontId="0" fillId="0" borderId="0" xfId="0" applyAlignment="1" applyProtection="1">
      <alignment readingOrder="1"/>
    </xf>
    <xf numFmtId="0" fontId="0" fillId="0" borderId="0" xfId="0" applyAlignment="1" applyProtection="1">
      <alignment wrapText="1" readingOrder="1"/>
    </xf>
    <xf numFmtId="0" fontId="9" fillId="0" borderId="0" xfId="0" applyFont="1" applyAlignment="1" applyProtection="1">
      <alignment horizontal="center" vertical="center" wrapText="1" readingOrder="1"/>
    </xf>
    <xf numFmtId="0" fontId="0" fillId="0" borderId="0" xfId="0" applyFont="1" applyAlignment="1" applyProtection="1">
      <alignment wrapText="1"/>
    </xf>
    <xf numFmtId="0" fontId="16" fillId="0" borderId="0" xfId="0" applyFont="1" applyAlignment="1" applyProtection="1">
      <alignment wrapText="1"/>
    </xf>
    <xf numFmtId="0" fontId="0" fillId="0" borderId="0" xfId="0" applyFont="1" applyFill="1" applyAlignment="1" applyProtection="1">
      <alignment wrapText="1"/>
    </xf>
    <xf numFmtId="0" fontId="10" fillId="9" borderId="8" xfId="0" applyFont="1" applyFill="1" applyBorder="1" applyAlignment="1" applyProtection="1">
      <alignment horizontal="center" vertical="center" wrapText="1" readingOrder="1"/>
    </xf>
    <xf numFmtId="0" fontId="1" fillId="0" borderId="0" xfId="0" applyFont="1" applyFill="1" applyBorder="1" applyAlignment="1" applyProtection="1">
      <alignment wrapText="1" readingOrder="1"/>
    </xf>
    <xf numFmtId="0" fontId="12" fillId="0" borderId="0" xfId="0" applyFont="1" applyFill="1" applyBorder="1" applyAlignment="1" applyProtection="1">
      <alignment horizontal="center" vertical="center" wrapText="1" readingOrder="1"/>
    </xf>
    <xf numFmtId="0" fontId="0" fillId="0" borderId="0" xfId="0" applyAlignment="1">
      <alignment horizontal="center"/>
    </xf>
    <xf numFmtId="0" fontId="18" fillId="12" borderId="10" xfId="0" applyFont="1" applyFill="1" applyBorder="1" applyAlignment="1" applyProtection="1">
      <alignment horizontal="center" vertical="center" readingOrder="1"/>
      <protection locked="0"/>
    </xf>
    <xf numFmtId="0" fontId="0" fillId="0" borderId="0" xfId="0" applyAlignment="1">
      <alignment horizontal="center" readingOrder="1"/>
    </xf>
    <xf numFmtId="0" fontId="19" fillId="0" borderId="4" xfId="0" applyFont="1" applyFill="1" applyBorder="1" applyAlignment="1">
      <alignment horizontal="center" vertical="center" wrapText="1"/>
    </xf>
    <xf numFmtId="2" fontId="22" fillId="0" borderId="0" xfId="0" applyNumberFormat="1" applyFont="1" applyAlignment="1">
      <alignment horizontal="center"/>
    </xf>
    <xf numFmtId="1" fontId="22" fillId="0" borderId="0" xfId="0" applyNumberFormat="1" applyFont="1" applyAlignment="1">
      <alignment horizontal="center"/>
    </xf>
    <xf numFmtId="0" fontId="19" fillId="0" borderId="0" xfId="0" applyFont="1" applyFill="1" applyAlignment="1">
      <alignment horizontal="center" vertical="center" wrapText="1"/>
    </xf>
    <xf numFmtId="0" fontId="0" fillId="0" borderId="0" xfId="0" applyAlignment="1">
      <alignment wrapText="1"/>
    </xf>
    <xf numFmtId="0" fontId="23" fillId="0" borderId="0" xfId="0" applyFont="1" applyFill="1" applyAlignment="1">
      <alignment horizontal="center" vertical="center" wrapText="1"/>
    </xf>
    <xf numFmtId="0" fontId="16" fillId="0" borderId="0" xfId="0" applyFont="1" applyAlignment="1">
      <alignment horizontal="center"/>
    </xf>
    <xf numFmtId="0" fontId="15" fillId="0" borderId="0" xfId="0" applyFont="1" applyAlignment="1"/>
    <xf numFmtId="0" fontId="15" fillId="0" borderId="0" xfId="0" applyFont="1" applyAlignment="1">
      <alignment horizontal="center"/>
    </xf>
    <xf numFmtId="0" fontId="15" fillId="0" borderId="0" xfId="0" applyFont="1" applyAlignment="1">
      <alignment horizontal="left"/>
    </xf>
    <xf numFmtId="0" fontId="16" fillId="0" borderId="0" xfId="0" applyFont="1" applyAlignment="1">
      <alignment horizontal="left"/>
    </xf>
    <xf numFmtId="0" fontId="19" fillId="11" borderId="20" xfId="0" applyFont="1" applyFill="1" applyBorder="1" applyAlignment="1">
      <alignment horizontal="center" vertical="center" readingOrder="1"/>
    </xf>
    <xf numFmtId="0" fontId="19" fillId="9" borderId="20" xfId="0" applyFont="1" applyFill="1" applyBorder="1" applyAlignment="1">
      <alignment horizontal="center" vertical="center" wrapText="1" readingOrder="1"/>
    </xf>
    <xf numFmtId="0" fontId="19" fillId="10" borderId="20" xfId="0" applyFont="1" applyFill="1" applyBorder="1" applyAlignment="1">
      <alignment horizontal="center" vertical="center" wrapText="1"/>
    </xf>
    <xf numFmtId="0" fontId="0" fillId="0" borderId="0" xfId="0" applyBorder="1" applyAlignment="1">
      <alignment horizontal="center" readingOrder="1"/>
    </xf>
    <xf numFmtId="0" fontId="0" fillId="0" borderId="0" xfId="0" applyBorder="1" applyAlignment="1">
      <alignment horizontal="center"/>
    </xf>
    <xf numFmtId="0" fontId="0" fillId="0" borderId="24" xfId="0" applyBorder="1" applyAlignment="1">
      <alignment horizontal="center"/>
    </xf>
    <xf numFmtId="0" fontId="0" fillId="16" borderId="8" xfId="0" applyFill="1" applyBorder="1"/>
    <xf numFmtId="0" fontId="0" fillId="16" borderId="8" xfId="0" applyFill="1" applyBorder="1" applyAlignment="1">
      <alignment horizontal="center"/>
    </xf>
    <xf numFmtId="0" fontId="0" fillId="16" borderId="22" xfId="0" applyFill="1" applyBorder="1" applyAlignment="1">
      <alignment horizontal="center"/>
    </xf>
    <xf numFmtId="0" fontId="0" fillId="16" borderId="0" xfId="0" applyFill="1" applyBorder="1"/>
    <xf numFmtId="0" fontId="0" fillId="16" borderId="24" xfId="0" applyFill="1" applyBorder="1" applyAlignment="1">
      <alignment horizontal="center"/>
    </xf>
    <xf numFmtId="0" fontId="0" fillId="7" borderId="0" xfId="0" applyFill="1" applyBorder="1"/>
    <xf numFmtId="0" fontId="0" fillId="16" borderId="21" xfId="0" applyFill="1" applyBorder="1" applyAlignment="1">
      <alignment horizontal="center" readingOrder="1"/>
    </xf>
    <xf numFmtId="0" fontId="0" fillId="16" borderId="23" xfId="0" applyFill="1" applyBorder="1" applyAlignment="1">
      <alignment horizontal="center" readingOrder="1"/>
    </xf>
    <xf numFmtId="0" fontId="12" fillId="0" borderId="0" xfId="0" applyFont="1" applyFill="1" applyBorder="1" applyAlignment="1" applyProtection="1">
      <alignment horizontal="center" vertical="center" wrapText="1" readingOrder="1"/>
      <protection locked="0"/>
    </xf>
    <xf numFmtId="0" fontId="14" fillId="0" borderId="21" xfId="0" applyFont="1" applyFill="1" applyBorder="1" applyAlignment="1" applyProtection="1">
      <alignment horizontal="center" vertical="center" readingOrder="1"/>
      <protection locked="0"/>
    </xf>
    <xf numFmtId="0" fontId="15" fillId="0" borderId="0" xfId="0" applyFont="1" applyAlignment="1">
      <alignment horizontal="center"/>
    </xf>
    <xf numFmtId="0" fontId="23" fillId="0" borderId="25" xfId="0" applyFont="1" applyFill="1" applyBorder="1" applyAlignment="1">
      <alignment horizontal="center" vertical="center" wrapText="1"/>
    </xf>
    <xf numFmtId="0" fontId="16" fillId="0" borderId="26" xfId="0" applyFont="1" applyBorder="1" applyAlignment="1">
      <alignment horizontal="center"/>
    </xf>
    <xf numFmtId="0" fontId="23" fillId="0" borderId="27" xfId="0" applyFont="1" applyFill="1" applyBorder="1" applyAlignment="1">
      <alignment horizontal="center" vertical="center" wrapText="1"/>
    </xf>
    <xf numFmtId="0" fontId="16" fillId="0" borderId="4" xfId="0" applyFont="1" applyBorder="1" applyAlignment="1">
      <alignment horizontal="center"/>
    </xf>
    <xf numFmtId="0" fontId="23" fillId="0" borderId="20" xfId="0" applyFont="1" applyFill="1" applyBorder="1" applyAlignment="1">
      <alignment horizontal="center" vertical="center" wrapText="1"/>
    </xf>
    <xf numFmtId="0" fontId="16" fillId="0" borderId="20" xfId="0" applyFont="1" applyBorder="1" applyAlignment="1">
      <alignment horizontal="center" vertical="center"/>
    </xf>
    <xf numFmtId="0" fontId="0" fillId="0" borderId="4" xfId="0" applyBorder="1" applyAlignment="1">
      <alignment horizontal="center"/>
    </xf>
    <xf numFmtId="0" fontId="16" fillId="0" borderId="27" xfId="0" applyFont="1" applyBorder="1" applyAlignment="1">
      <alignment horizontal="center"/>
    </xf>
    <xf numFmtId="0" fontId="0" fillId="0" borderId="27" xfId="0" applyBorder="1" applyAlignment="1">
      <alignment horizontal="center"/>
    </xf>
    <xf numFmtId="2" fontId="16" fillId="0" borderId="0" xfId="0" applyNumberFormat="1" applyFont="1" applyAlignment="1">
      <alignment horizontal="center"/>
    </xf>
    <xf numFmtId="0" fontId="0" fillId="0" borderId="0" xfId="0" applyAlignment="1" applyProtection="1">
      <alignment horizontal="center"/>
    </xf>
    <xf numFmtId="0" fontId="0" fillId="8" borderId="0" xfId="0" applyFill="1" applyAlignment="1" applyProtection="1">
      <alignment horizontal="center"/>
    </xf>
    <xf numFmtId="0" fontId="0" fillId="0" borderId="0" xfId="0" applyAlignment="1" applyProtection="1">
      <alignment horizontal="center" vertical="top"/>
    </xf>
    <xf numFmtId="0" fontId="12" fillId="0" borderId="19" xfId="0" applyFont="1" applyFill="1" applyBorder="1" applyAlignment="1" applyProtection="1">
      <alignment wrapText="1" readingOrder="1"/>
    </xf>
    <xf numFmtId="0" fontId="0" fillId="0" borderId="0" xfId="0" applyProtection="1">
      <protection locked="0"/>
    </xf>
    <xf numFmtId="0" fontId="13" fillId="14" borderId="11" xfId="0" applyFont="1" applyFill="1" applyBorder="1" applyAlignment="1" applyProtection="1">
      <alignment horizontal="center" vertical="center" wrapText="1" readingOrder="1"/>
      <protection locked="0"/>
    </xf>
    <xf numFmtId="0" fontId="0" fillId="0" borderId="0" xfId="0" applyNumberFormat="1" applyAlignment="1">
      <alignment horizontal="left"/>
    </xf>
    <xf numFmtId="49" fontId="1" fillId="0" borderId="0" xfId="0" applyNumberFormat="1" applyFont="1" applyAlignment="1" applyProtection="1">
      <alignment horizontal="center"/>
    </xf>
    <xf numFmtId="49" fontId="1" fillId="0" borderId="0" xfId="0" applyNumberFormat="1" applyFont="1" applyAlignment="1" applyProtection="1">
      <alignment horizontal="left" wrapText="1"/>
    </xf>
    <xf numFmtId="49" fontId="0" fillId="0" borderId="0" xfId="0" applyNumberFormat="1" applyProtection="1"/>
    <xf numFmtId="0" fontId="13" fillId="0" borderId="19" xfId="0" applyFont="1" applyFill="1" applyBorder="1" applyAlignment="1" applyProtection="1">
      <alignment horizontal="center" vertical="center" wrapText="1" readingOrder="1"/>
      <protection locked="0"/>
    </xf>
    <xf numFmtId="0" fontId="12" fillId="0" borderId="0" xfId="0" applyFont="1" applyFill="1" applyBorder="1" applyAlignment="1" applyProtection="1">
      <alignment horizontal="center" vertical="center" wrapText="1" readingOrder="1"/>
    </xf>
    <xf numFmtId="0" fontId="18" fillId="12" borderId="15" xfId="0" applyFont="1" applyFill="1" applyBorder="1" applyAlignment="1" applyProtection="1">
      <alignment horizontal="center" vertical="center" wrapText="1"/>
    </xf>
    <xf numFmtId="0" fontId="24" fillId="0" borderId="10" xfId="0" applyFont="1" applyFill="1" applyBorder="1" applyAlignment="1" applyProtection="1">
      <alignment horizontal="left" vertical="center" wrapText="1" readingOrder="1"/>
    </xf>
    <xf numFmtId="0" fontId="14" fillId="0" borderId="28" xfId="0" applyFont="1" applyFill="1" applyBorder="1" applyAlignment="1" applyProtection="1">
      <alignment horizontal="center" vertical="center" wrapText="1" readingOrder="1"/>
    </xf>
    <xf numFmtId="0" fontId="13" fillId="0" borderId="13" xfId="0" applyFont="1" applyFill="1" applyBorder="1" applyAlignment="1" applyProtection="1">
      <alignment horizontal="center" vertical="center" wrapText="1" readingOrder="1"/>
      <protection locked="0"/>
    </xf>
    <xf numFmtId="0" fontId="13" fillId="0" borderId="12" xfId="0" applyFont="1" applyFill="1" applyBorder="1" applyAlignment="1" applyProtection="1">
      <alignment horizontal="center" vertical="center" wrapText="1" readingOrder="1"/>
      <protection locked="0"/>
    </xf>
    <xf numFmtId="0" fontId="0" fillId="16" borderId="1" xfId="0" applyFill="1" applyBorder="1" applyAlignment="1">
      <alignment horizontal="center" readingOrder="1"/>
    </xf>
    <xf numFmtId="0" fontId="0" fillId="16" borderId="2" xfId="0" applyFill="1" applyBorder="1"/>
    <xf numFmtId="0" fontId="0" fillId="16" borderId="14" xfId="0" applyFill="1" applyBorder="1" applyAlignment="1">
      <alignment horizontal="center"/>
    </xf>
    <xf numFmtId="0" fontId="0" fillId="7" borderId="23" xfId="0" applyFill="1" applyBorder="1" applyAlignment="1">
      <alignment horizontal="center" readingOrder="1"/>
    </xf>
    <xf numFmtId="0" fontId="0" fillId="7" borderId="24" xfId="0" applyFill="1" applyBorder="1" applyAlignment="1">
      <alignment horizontal="center"/>
    </xf>
    <xf numFmtId="0" fontId="15" fillId="0" borderId="0" xfId="0" applyFont="1" applyBorder="1" applyAlignment="1">
      <alignment horizontal="center"/>
    </xf>
    <xf numFmtId="0" fontId="16" fillId="0" borderId="0" xfId="0" applyNumberFormat="1" applyFont="1" applyAlignment="1" applyProtection="1">
      <alignment wrapText="1"/>
    </xf>
    <xf numFmtId="49" fontId="1" fillId="0" borderId="0" xfId="0" applyNumberFormat="1" applyFont="1" applyFill="1" applyAlignment="1" applyProtection="1">
      <alignment horizontal="left" wrapText="1"/>
    </xf>
    <xf numFmtId="9" fontId="0" fillId="0" borderId="0" xfId="0" applyNumberFormat="1"/>
    <xf numFmtId="0" fontId="2" fillId="0" borderId="2" xfId="0" applyFont="1" applyFill="1" applyBorder="1" applyAlignment="1" applyProtection="1">
      <alignment vertical="center" wrapText="1" readingOrder="1"/>
    </xf>
    <xf numFmtId="0" fontId="0" fillId="6" borderId="23" xfId="0" applyFill="1" applyBorder="1" applyAlignment="1">
      <alignment horizontal="center" readingOrder="1"/>
    </xf>
    <xf numFmtId="0" fontId="0" fillId="6" borderId="0" xfId="0" applyFill="1" applyBorder="1"/>
    <xf numFmtId="0" fontId="0" fillId="6" borderId="24" xfId="0" applyFill="1" applyBorder="1" applyAlignment="1">
      <alignment horizontal="center"/>
    </xf>
    <xf numFmtId="0" fontId="0" fillId="18" borderId="21" xfId="0" applyFill="1" applyBorder="1" applyAlignment="1">
      <alignment horizontal="center" readingOrder="1"/>
    </xf>
    <xf numFmtId="0" fontId="0" fillId="18" borderId="8" xfId="0" applyFill="1" applyBorder="1"/>
    <xf numFmtId="0" fontId="0" fillId="18" borderId="22" xfId="0" applyFill="1" applyBorder="1" applyAlignment="1">
      <alignment horizontal="center"/>
    </xf>
    <xf numFmtId="0" fontId="0" fillId="18" borderId="23" xfId="0" applyFill="1" applyBorder="1" applyAlignment="1">
      <alignment horizontal="center" readingOrder="1"/>
    </xf>
    <xf numFmtId="0" fontId="0" fillId="18" borderId="0" xfId="0" applyFill="1" applyBorder="1"/>
    <xf numFmtId="0" fontId="0" fillId="18" borderId="24" xfId="0" applyFill="1" applyBorder="1" applyAlignment="1">
      <alignment horizontal="center"/>
    </xf>
    <xf numFmtId="0" fontId="0" fillId="6" borderId="21" xfId="0" applyFill="1" applyBorder="1" applyAlignment="1">
      <alignment horizontal="center" readingOrder="1"/>
    </xf>
    <xf numFmtId="0" fontId="0" fillId="6" borderId="8" xfId="0" applyFill="1" applyBorder="1"/>
    <xf numFmtId="0" fontId="0" fillId="6" borderId="22" xfId="0" applyFill="1" applyBorder="1" applyAlignment="1">
      <alignment horizontal="center"/>
    </xf>
    <xf numFmtId="0" fontId="0" fillId="18" borderId="1" xfId="0" applyFill="1" applyBorder="1" applyAlignment="1">
      <alignment horizontal="center" readingOrder="1"/>
    </xf>
    <xf numFmtId="0" fontId="0" fillId="18" borderId="2" xfId="0" applyFill="1" applyBorder="1"/>
    <xf numFmtId="0" fontId="0" fillId="18" borderId="14" xfId="0" applyFill="1" applyBorder="1" applyAlignment="1">
      <alignment horizontal="center"/>
    </xf>
    <xf numFmtId="0" fontId="0" fillId="18" borderId="0" xfId="0" applyFill="1" applyBorder="1" applyAlignment="1">
      <alignment horizontal="center" readingOrder="1"/>
    </xf>
    <xf numFmtId="0" fontId="0" fillId="18" borderId="0" xfId="0" applyFill="1" applyBorder="1" applyAlignment="1">
      <alignment horizontal="center"/>
    </xf>
    <xf numFmtId="0" fontId="0" fillId="16" borderId="0" xfId="0" applyFill="1" applyBorder="1" applyAlignment="1">
      <alignment horizontal="center" readingOrder="1"/>
    </xf>
    <xf numFmtId="0" fontId="0" fillId="16" borderId="0" xfId="0" applyFill="1" applyBorder="1" applyAlignment="1">
      <alignment horizontal="center"/>
    </xf>
    <xf numFmtId="0" fontId="0" fillId="7" borderId="0" xfId="0" applyFill="1" applyBorder="1" applyAlignment="1">
      <alignment horizontal="center" readingOrder="1"/>
    </xf>
    <xf numFmtId="0" fontId="0" fillId="7" borderId="0" xfId="0" applyFill="1" applyBorder="1" applyAlignment="1">
      <alignment horizontal="center"/>
    </xf>
    <xf numFmtId="0" fontId="0" fillId="6" borderId="0" xfId="0" applyFill="1" applyBorder="1" applyAlignment="1">
      <alignment horizontal="center" readingOrder="1"/>
    </xf>
    <xf numFmtId="0" fontId="0" fillId="6" borderId="0" xfId="0" applyFill="1" applyBorder="1" applyAlignment="1">
      <alignment horizontal="center"/>
    </xf>
    <xf numFmtId="0" fontId="0" fillId="15" borderId="0" xfId="0" applyFill="1" applyBorder="1" applyAlignment="1">
      <alignment horizontal="center" readingOrder="1"/>
    </xf>
    <xf numFmtId="0" fontId="0" fillId="15" borderId="0" xfId="0" applyFill="1" applyBorder="1"/>
    <xf numFmtId="0" fontId="0" fillId="15" borderId="0" xfId="0" applyFill="1" applyBorder="1" applyAlignment="1">
      <alignment horizontal="center"/>
    </xf>
    <xf numFmtId="0" fontId="24" fillId="0" borderId="15" xfId="0" applyFont="1" applyFill="1" applyBorder="1" applyAlignment="1" applyProtection="1">
      <alignment horizontal="left" vertical="center" wrapText="1" readingOrder="1"/>
    </xf>
    <xf numFmtId="0" fontId="14" fillId="0" borderId="35" xfId="0" applyFont="1" applyFill="1" applyBorder="1" applyAlignment="1" applyProtection="1">
      <alignment horizontal="center" vertical="center" wrapText="1" readingOrder="1"/>
      <protection locked="0"/>
    </xf>
    <xf numFmtId="0" fontId="24" fillId="0" borderId="17" xfId="0" applyFont="1" applyFill="1" applyBorder="1" applyAlignment="1" applyProtection="1">
      <alignment horizontal="left" vertical="center" wrapText="1" readingOrder="1"/>
    </xf>
    <xf numFmtId="0" fontId="13" fillId="0" borderId="35" xfId="0" applyFont="1" applyFill="1" applyBorder="1" applyAlignment="1" applyProtection="1">
      <alignment horizontal="center" vertical="center" wrapText="1" readingOrder="1"/>
      <protection locked="0"/>
    </xf>
    <xf numFmtId="0" fontId="18" fillId="12" borderId="21" xfId="0" applyFont="1" applyFill="1" applyBorder="1" applyAlignment="1" applyProtection="1">
      <alignment horizontal="center" vertical="center" wrapText="1" readingOrder="1"/>
      <protection locked="0"/>
    </xf>
    <xf numFmtId="0" fontId="14" fillId="0" borderId="4" xfId="0" applyFont="1" applyFill="1" applyBorder="1" applyAlignment="1" applyProtection="1">
      <alignment vertical="center" wrapText="1" readingOrder="1"/>
    </xf>
    <xf numFmtId="0" fontId="14" fillId="0" borderId="4" xfId="0" applyFont="1" applyFill="1" applyBorder="1" applyAlignment="1" applyProtection="1">
      <alignment horizontal="left" vertical="center" wrapText="1" readingOrder="1"/>
    </xf>
    <xf numFmtId="0" fontId="24" fillId="0" borderId="15" xfId="0" applyFont="1" applyFill="1" applyBorder="1" applyAlignment="1" applyProtection="1">
      <alignment horizontal="center" vertical="center" wrapText="1" readingOrder="1"/>
    </xf>
    <xf numFmtId="0" fontId="24" fillId="0" borderId="10" xfId="0" applyFont="1" applyFill="1" applyBorder="1" applyAlignment="1" applyProtection="1">
      <alignment horizontal="center" vertical="center" wrapText="1" readingOrder="1"/>
    </xf>
    <xf numFmtId="0" fontId="12" fillId="0" borderId="0" xfId="0" applyFont="1" applyFill="1" applyBorder="1" applyAlignment="1" applyProtection="1">
      <alignment horizontal="center" vertical="center" textRotation="90" readingOrder="1"/>
      <protection locked="0"/>
    </xf>
    <xf numFmtId="0" fontId="0" fillId="0" borderId="0" xfId="0" applyFill="1"/>
    <xf numFmtId="0" fontId="0" fillId="7" borderId="21" xfId="0" applyFill="1" applyBorder="1" applyAlignment="1">
      <alignment horizontal="center" readingOrder="1"/>
    </xf>
    <xf numFmtId="0" fontId="0" fillId="7" borderId="8" xfId="0" applyFill="1" applyBorder="1"/>
    <xf numFmtId="0" fontId="0" fillId="7" borderId="22" xfId="0" applyFill="1" applyBorder="1" applyAlignment="1">
      <alignment horizontal="center"/>
    </xf>
    <xf numFmtId="0" fontId="0" fillId="7" borderId="1" xfId="0" applyFill="1" applyBorder="1" applyAlignment="1">
      <alignment horizontal="center" readingOrder="1"/>
    </xf>
    <xf numFmtId="0" fontId="0" fillId="7" borderId="2" xfId="0" applyFill="1" applyBorder="1"/>
    <xf numFmtId="0" fontId="0" fillId="7" borderId="14" xfId="0" applyFill="1" applyBorder="1" applyAlignment="1">
      <alignment horizontal="center"/>
    </xf>
    <xf numFmtId="0" fontId="0" fillId="6" borderId="1" xfId="0" applyFill="1" applyBorder="1" applyAlignment="1">
      <alignment horizontal="center" readingOrder="1"/>
    </xf>
    <xf numFmtId="0" fontId="0" fillId="6" borderId="2" xfId="0" applyFill="1" applyBorder="1"/>
    <xf numFmtId="0" fontId="0" fillId="6" borderId="14" xfId="0" applyFill="1" applyBorder="1" applyAlignment="1">
      <alignment horizontal="center"/>
    </xf>
    <xf numFmtId="0" fontId="20" fillId="0" borderId="0" xfId="0" applyFont="1" applyFill="1" applyBorder="1" applyAlignment="1" applyProtection="1">
      <alignment horizontal="center" wrapText="1" readingOrder="1"/>
      <protection locked="0"/>
    </xf>
    <xf numFmtId="0" fontId="12" fillId="0" borderId="0" xfId="0" applyFont="1" applyBorder="1" applyAlignment="1">
      <alignment horizontal="center" readingOrder="1"/>
    </xf>
    <xf numFmtId="0" fontId="24" fillId="0" borderId="15" xfId="0" applyFont="1" applyFill="1" applyBorder="1" applyAlignment="1" applyProtection="1">
      <alignment horizontal="left" vertical="center" wrapText="1" readingOrder="1"/>
    </xf>
    <xf numFmtId="0" fontId="24" fillId="0" borderId="17" xfId="0" applyFont="1" applyFill="1" applyBorder="1" applyAlignment="1" applyProtection="1">
      <alignment horizontal="left" vertical="center" wrapText="1" readingOrder="1"/>
    </xf>
    <xf numFmtId="0" fontId="17" fillId="12" borderId="0" xfId="0" applyFont="1" applyFill="1" applyBorder="1" applyAlignment="1" applyProtection="1">
      <alignment horizontal="center" vertical="center" wrapText="1" readingOrder="1"/>
    </xf>
    <xf numFmtId="0" fontId="19" fillId="11" borderId="10" xfId="0" applyFont="1" applyFill="1" applyBorder="1" applyAlignment="1" applyProtection="1">
      <alignment horizontal="center" readingOrder="1"/>
      <protection locked="0"/>
    </xf>
    <xf numFmtId="0" fontId="12" fillId="14" borderId="11" xfId="0" applyFont="1" applyFill="1" applyBorder="1" applyAlignment="1" applyProtection="1">
      <alignment horizontal="center" vertical="center" readingOrder="1"/>
      <protection locked="0"/>
    </xf>
    <xf numFmtId="0" fontId="18" fillId="12" borderId="10" xfId="0" applyFont="1" applyFill="1" applyBorder="1" applyAlignment="1" applyProtection="1">
      <alignment horizontal="center" vertical="center" wrapText="1" readingOrder="1"/>
      <protection locked="0"/>
    </xf>
    <xf numFmtId="0" fontId="18" fillId="12" borderId="0" xfId="0" applyFont="1" applyFill="1" applyBorder="1" applyAlignment="1" applyProtection="1">
      <alignment horizontal="center" vertical="center" wrapText="1" readingOrder="1"/>
    </xf>
    <xf numFmtId="9" fontId="13" fillId="17" borderId="12" xfId="0" applyNumberFormat="1" applyFont="1" applyFill="1" applyBorder="1" applyAlignment="1" applyProtection="1">
      <alignment horizontal="center" readingOrder="1"/>
      <protection locked="0"/>
    </xf>
    <xf numFmtId="0" fontId="13" fillId="0" borderId="17" xfId="0" applyNumberFormat="1" applyFont="1" applyFill="1" applyBorder="1" applyAlignment="1" applyProtection="1">
      <alignment horizontal="center" vertical="center" wrapText="1" readingOrder="1"/>
      <protection locked="0"/>
    </xf>
    <xf numFmtId="9" fontId="12" fillId="17" borderId="13" xfId="0" applyNumberFormat="1" applyFont="1" applyFill="1" applyBorder="1" applyAlignment="1" applyProtection="1">
      <alignment horizontal="center" readingOrder="1"/>
      <protection locked="0"/>
    </xf>
    <xf numFmtId="0" fontId="12" fillId="0" borderId="12" xfId="0" applyFont="1" applyFill="1" applyBorder="1" applyAlignment="1" applyProtection="1">
      <alignment horizontal="center" vertical="center" readingOrder="1"/>
      <protection locked="0"/>
    </xf>
    <xf numFmtId="0" fontId="12" fillId="0" borderId="13" xfId="0" applyFont="1" applyFill="1" applyBorder="1" applyAlignment="1" applyProtection="1">
      <alignment horizontal="center" vertical="center" readingOrder="1"/>
      <protection locked="0"/>
    </xf>
    <xf numFmtId="0" fontId="1" fillId="0" borderId="4" xfId="0" applyFont="1" applyBorder="1" applyAlignment="1">
      <alignment horizontal="center" vertical="center"/>
    </xf>
    <xf numFmtId="0" fontId="19" fillId="0" borderId="4" xfId="0" applyFont="1" applyBorder="1" applyAlignment="1">
      <alignment horizontal="center" vertical="center"/>
    </xf>
    <xf numFmtId="9" fontId="13" fillId="17" borderId="37" xfId="0" applyNumberFormat="1" applyFont="1" applyFill="1" applyBorder="1" applyAlignment="1" applyProtection="1">
      <alignment horizontal="center" vertical="center" wrapText="1" readingOrder="1"/>
    </xf>
    <xf numFmtId="9" fontId="13" fillId="17" borderId="18" xfId="0" applyNumberFormat="1" applyFont="1" applyFill="1" applyBorder="1" applyAlignment="1" applyProtection="1">
      <alignment horizontal="center" vertical="center" wrapText="1" readingOrder="1"/>
    </xf>
    <xf numFmtId="9" fontId="13" fillId="17" borderId="38" xfId="0" applyNumberFormat="1" applyFont="1" applyFill="1" applyBorder="1" applyAlignment="1" applyProtection="1">
      <alignment horizontal="center" vertical="center" wrapText="1" readingOrder="1"/>
    </xf>
    <xf numFmtId="0" fontId="19" fillId="0" borderId="0" xfId="0" applyFont="1" applyBorder="1" applyAlignment="1">
      <alignment horizontal="center" vertical="center"/>
    </xf>
    <xf numFmtId="0" fontId="24" fillId="0" borderId="15" xfId="0" applyFont="1" applyFill="1" applyBorder="1" applyAlignment="1" applyProtection="1">
      <alignment horizontal="center" vertical="center" wrapText="1" readingOrder="1"/>
    </xf>
    <xf numFmtId="0" fontId="24" fillId="0" borderId="17" xfId="0" applyFont="1" applyFill="1" applyBorder="1" applyAlignment="1" applyProtection="1">
      <alignment horizontal="center" vertical="center" wrapText="1" readingOrder="1"/>
    </xf>
    <xf numFmtId="0" fontId="24" fillId="0" borderId="16" xfId="0" applyFont="1" applyFill="1" applyBorder="1" applyAlignment="1" applyProtection="1">
      <alignment horizontal="center" vertical="center" wrapText="1" readingOrder="1"/>
    </xf>
    <xf numFmtId="0" fontId="21" fillId="13" borderId="5" xfId="0" applyFont="1" applyFill="1" applyBorder="1" applyAlignment="1" applyProtection="1">
      <alignment horizontal="center" vertical="center" wrapText="1" readingOrder="1"/>
    </xf>
    <xf numFmtId="0" fontId="21" fillId="13" borderId="6" xfId="0" applyFont="1" applyFill="1" applyBorder="1" applyAlignment="1" applyProtection="1">
      <alignment horizontal="center" vertical="center" readingOrder="1"/>
    </xf>
    <xf numFmtId="0" fontId="14" fillId="0" borderId="31" xfId="0" applyFont="1" applyFill="1" applyBorder="1" applyAlignment="1" applyProtection="1">
      <alignment vertical="center" wrapText="1" readingOrder="1"/>
    </xf>
    <xf numFmtId="0" fontId="14" fillId="0" borderId="32" xfId="0" applyFont="1" applyFill="1" applyBorder="1" applyAlignment="1" applyProtection="1">
      <alignment vertical="center" wrapText="1" readingOrder="1"/>
    </xf>
    <xf numFmtId="0" fontId="14" fillId="0" borderId="29" xfId="0" applyFont="1" applyFill="1" applyBorder="1" applyAlignment="1" applyProtection="1">
      <alignment vertical="center" wrapText="1" readingOrder="1"/>
    </xf>
    <xf numFmtId="0" fontId="14" fillId="0" borderId="30" xfId="0" applyFont="1" applyFill="1" applyBorder="1" applyAlignment="1" applyProtection="1">
      <alignment vertical="center" wrapText="1" readingOrder="1"/>
    </xf>
    <xf numFmtId="0" fontId="18" fillId="12" borderId="21" xfId="0" applyFont="1" applyFill="1" applyBorder="1" applyAlignment="1" applyProtection="1">
      <alignment horizontal="center" vertical="center" wrapText="1"/>
    </xf>
    <xf numFmtId="0" fontId="18" fillId="12" borderId="22" xfId="0" applyFont="1" applyFill="1" applyBorder="1" applyAlignment="1" applyProtection="1">
      <alignment horizontal="center" vertical="center" wrapText="1"/>
    </xf>
    <xf numFmtId="0" fontId="18" fillId="12" borderId="5" xfId="0" applyFont="1" applyFill="1" applyBorder="1" applyAlignment="1" applyProtection="1">
      <alignment horizontal="center" vertical="center" wrapText="1" readingOrder="1"/>
    </xf>
    <xf numFmtId="0" fontId="18" fillId="12" borderId="6" xfId="0" applyFont="1" applyFill="1" applyBorder="1" applyAlignment="1" applyProtection="1">
      <alignment horizontal="center" vertical="center" wrapText="1" readingOrder="1"/>
    </xf>
    <xf numFmtId="0" fontId="18" fillId="12" borderId="22" xfId="0" applyFont="1" applyFill="1" applyBorder="1" applyAlignment="1" applyProtection="1">
      <alignment horizontal="center" vertical="center" wrapText="1" readingOrder="1"/>
    </xf>
    <xf numFmtId="0" fontId="14" fillId="0" borderId="31" xfId="0" applyFont="1" applyFill="1" applyBorder="1" applyAlignment="1" applyProtection="1">
      <alignment horizontal="left" vertical="center" wrapText="1" readingOrder="1"/>
    </xf>
    <xf numFmtId="0" fontId="14" fillId="0" borderId="32" xfId="0" applyFont="1" applyFill="1" applyBorder="1" applyAlignment="1" applyProtection="1">
      <alignment horizontal="left" vertical="center" wrapText="1" readingOrder="1"/>
    </xf>
    <xf numFmtId="0" fontId="15" fillId="4" borderId="0" xfId="0" applyFont="1" applyFill="1" applyBorder="1" applyAlignment="1" applyProtection="1">
      <alignment horizontal="center" readingOrder="1"/>
    </xf>
    <xf numFmtId="0" fontId="1" fillId="0" borderId="0" xfId="0" applyFont="1" applyFill="1" applyBorder="1" applyAlignment="1" applyProtection="1">
      <alignment horizontal="center" readingOrder="1"/>
    </xf>
    <xf numFmtId="0" fontId="14" fillId="0" borderId="33" xfId="0" applyFont="1" applyFill="1" applyBorder="1" applyAlignment="1" applyProtection="1">
      <alignment vertical="center" wrapText="1" readingOrder="1"/>
    </xf>
    <xf numFmtId="0" fontId="14" fillId="0" borderId="34" xfId="0" applyFont="1" applyFill="1" applyBorder="1" applyAlignment="1" applyProtection="1">
      <alignment vertical="center" wrapText="1" readingOrder="1"/>
    </xf>
    <xf numFmtId="0" fontId="11" fillId="11" borderId="5" xfId="1" applyFont="1" applyFill="1" applyBorder="1" applyAlignment="1" applyProtection="1">
      <alignment horizontal="center" wrapText="1" readingOrder="1"/>
    </xf>
    <xf numFmtId="0" fontId="11" fillId="11" borderId="6" xfId="1" applyFont="1" applyFill="1" applyBorder="1" applyAlignment="1" applyProtection="1">
      <alignment horizontal="center" wrapText="1" readingOrder="1"/>
    </xf>
    <xf numFmtId="0" fontId="1" fillId="0" borderId="9" xfId="0" applyFont="1" applyFill="1" applyBorder="1" applyAlignment="1" applyProtection="1">
      <alignment horizontal="center" readingOrder="1"/>
    </xf>
    <xf numFmtId="0" fontId="23" fillId="4" borderId="15" xfId="0" applyFont="1" applyFill="1" applyBorder="1" applyAlignment="1" applyProtection="1">
      <alignment horizontal="center" vertical="center" textRotation="90" wrapText="1" readingOrder="1"/>
    </xf>
    <xf numFmtId="0" fontId="23" fillId="4" borderId="16" xfId="0" applyFont="1" applyFill="1" applyBorder="1" applyAlignment="1" applyProtection="1">
      <alignment horizontal="center" vertical="center" textRotation="90" wrapText="1" readingOrder="1"/>
    </xf>
    <xf numFmtId="0" fontId="23" fillId="4" borderId="17" xfId="0" applyFont="1" applyFill="1" applyBorder="1" applyAlignment="1" applyProtection="1">
      <alignment horizontal="center" vertical="center" textRotation="90" wrapText="1" readingOrder="1"/>
    </xf>
    <xf numFmtId="0" fontId="23" fillId="10" borderId="15" xfId="0" applyFont="1" applyFill="1" applyBorder="1" applyAlignment="1" applyProtection="1">
      <alignment horizontal="center" vertical="center" textRotation="90" wrapText="1" readingOrder="1"/>
    </xf>
    <xf numFmtId="0" fontId="23" fillId="10" borderId="16" xfId="0" applyFont="1" applyFill="1" applyBorder="1" applyAlignment="1" applyProtection="1">
      <alignment horizontal="center" vertical="center" textRotation="90" wrapText="1" readingOrder="1"/>
    </xf>
    <xf numFmtId="0" fontId="24" fillId="0" borderId="15" xfId="0" applyFont="1" applyFill="1" applyBorder="1" applyAlignment="1" applyProtection="1">
      <alignment horizontal="left" vertical="center" wrapText="1" readingOrder="1"/>
    </xf>
    <xf numFmtId="0" fontId="24" fillId="0" borderId="17" xfId="0" applyFont="1" applyFill="1" applyBorder="1" applyAlignment="1" applyProtection="1">
      <alignment horizontal="left" vertical="center" wrapText="1" readingOrder="1"/>
    </xf>
    <xf numFmtId="0" fontId="24" fillId="0" borderId="16" xfId="0" applyFont="1" applyFill="1" applyBorder="1" applyAlignment="1" applyProtection="1">
      <alignment horizontal="left" vertical="center" wrapText="1" readingOrder="1"/>
    </xf>
    <xf numFmtId="0" fontId="14" fillId="0" borderId="18" xfId="0" applyFont="1" applyFill="1" applyBorder="1" applyAlignment="1" applyProtection="1">
      <alignment horizontal="left" vertical="center" wrapText="1" readingOrder="1"/>
    </xf>
    <xf numFmtId="0" fontId="14" fillId="0" borderId="36" xfId="0" applyFont="1" applyFill="1" applyBorder="1" applyAlignment="1" applyProtection="1">
      <alignment horizontal="left" vertical="center" wrapText="1" readingOrder="1"/>
    </xf>
    <xf numFmtId="0" fontId="14" fillId="0" borderId="29" xfId="0" applyFont="1" applyFill="1" applyBorder="1" applyAlignment="1" applyProtection="1">
      <alignment horizontal="left" vertical="center" wrapText="1" readingOrder="1"/>
    </xf>
    <xf numFmtId="0" fontId="14" fillId="0" borderId="30" xfId="0" applyFont="1" applyFill="1" applyBorder="1" applyAlignment="1" applyProtection="1">
      <alignment horizontal="left" vertical="center" wrapText="1" readingOrder="1"/>
    </xf>
    <xf numFmtId="0" fontId="14" fillId="0" borderId="18" xfId="0" applyFont="1" applyFill="1" applyBorder="1" applyAlignment="1" applyProtection="1">
      <alignment vertical="center" wrapText="1" readingOrder="1"/>
    </xf>
    <xf numFmtId="0" fontId="14" fillId="0" borderId="36" xfId="0" applyFont="1" applyFill="1" applyBorder="1" applyAlignment="1" applyProtection="1">
      <alignment vertical="center" wrapText="1" readingOrder="1"/>
    </xf>
    <xf numFmtId="0" fontId="23" fillId="9" borderId="15" xfId="0" applyFont="1" applyFill="1" applyBorder="1" applyAlignment="1" applyProtection="1">
      <alignment horizontal="center" vertical="center" textRotation="90" wrapText="1" readingOrder="1"/>
    </xf>
    <xf numFmtId="0" fontId="23" fillId="9" borderId="16" xfId="0" applyFont="1" applyFill="1" applyBorder="1" applyAlignment="1" applyProtection="1">
      <alignment horizontal="center" vertical="center" textRotation="90" wrapText="1" readingOrder="1"/>
    </xf>
    <xf numFmtId="0" fontId="23" fillId="9" borderId="17" xfId="0" applyFont="1" applyFill="1" applyBorder="1" applyAlignment="1" applyProtection="1">
      <alignment horizontal="center" vertical="center" textRotation="90" wrapText="1" readingOrder="1"/>
    </xf>
    <xf numFmtId="0" fontId="23" fillId="11" borderId="15" xfId="0" applyFont="1" applyFill="1" applyBorder="1" applyAlignment="1" applyProtection="1">
      <alignment horizontal="center" vertical="center" textRotation="90" wrapText="1" readingOrder="1"/>
    </xf>
    <xf numFmtId="0" fontId="23" fillId="11" borderId="16" xfId="0" applyFont="1" applyFill="1" applyBorder="1" applyAlignment="1" applyProtection="1">
      <alignment horizontal="center" vertical="center" textRotation="90" wrapText="1" readingOrder="1"/>
    </xf>
    <xf numFmtId="0" fontId="23" fillId="11" borderId="17" xfId="0" applyFont="1" applyFill="1" applyBorder="1" applyAlignment="1" applyProtection="1">
      <alignment horizontal="center" vertical="center" textRotation="90" wrapText="1" readingOrder="1"/>
    </xf>
    <xf numFmtId="0" fontId="18" fillId="12" borderId="5" xfId="0" applyFont="1" applyFill="1" applyBorder="1" applyAlignment="1" applyProtection="1">
      <alignment horizontal="center" vertical="center" readingOrder="1"/>
      <protection locked="0"/>
    </xf>
    <xf numFmtId="0" fontId="18" fillId="12" borderId="6" xfId="0" applyFont="1" applyFill="1" applyBorder="1" applyAlignment="1" applyProtection="1">
      <alignment horizontal="center" vertical="center" readingOrder="1"/>
      <protection locked="0"/>
    </xf>
    <xf numFmtId="0" fontId="18" fillId="12" borderId="7" xfId="0" applyFont="1" applyFill="1" applyBorder="1" applyAlignment="1" applyProtection="1">
      <alignment horizontal="center" vertical="center" readingOrder="1"/>
      <protection locked="0"/>
    </xf>
    <xf numFmtId="0" fontId="15" fillId="0" borderId="0" xfId="0" applyFont="1" applyAlignment="1">
      <alignment horizontal="center"/>
    </xf>
  </cellXfs>
  <cellStyles count="3">
    <cellStyle name="Normal" xfId="0" builtinId="0"/>
    <cellStyle name="Normal 2" xfId="2"/>
    <cellStyle name="Note" xfId="1" builtinId="10"/>
  </cellStyles>
  <dxfs count="0"/>
  <tableStyles count="0" defaultTableStyle="TableStyleMedium2" defaultPivotStyle="PivotStyleLight16"/>
  <colors>
    <mruColors>
      <color rgb="FF33CCCC"/>
      <color rgb="FFFF6699"/>
      <color rgb="FF99CCFF"/>
      <color rgb="FF0000CC"/>
      <color rgb="FFFF9900"/>
      <color rgb="FF000099"/>
      <color rgb="FFCC0000"/>
      <color rgb="FF336699"/>
      <color rgb="FF3366CC"/>
      <color rgb="FF00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jpeg"/><Relationship Id="rId1" Type="http://schemas.openxmlformats.org/officeDocument/2006/relationships/image" Target="../media/image7.jp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6" Type="http://schemas.openxmlformats.org/officeDocument/2006/relationships/image" Target="../media/image1.emf"/><Relationship Id="rId5" Type="http://schemas.openxmlformats.org/officeDocument/2006/relationships/image" Target="../media/image6.emf"/><Relationship Id="rId4"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15.emf"/><Relationship Id="rId7" Type="http://schemas.openxmlformats.org/officeDocument/2006/relationships/image" Target="../media/image11.emf"/><Relationship Id="rId2" Type="http://schemas.openxmlformats.org/officeDocument/2006/relationships/image" Target="../media/image16.emf"/><Relationship Id="rId1" Type="http://schemas.openxmlformats.org/officeDocument/2006/relationships/image" Target="../media/image17.emf"/><Relationship Id="rId6" Type="http://schemas.openxmlformats.org/officeDocument/2006/relationships/image" Target="../media/image12.emf"/><Relationship Id="rId5" Type="http://schemas.openxmlformats.org/officeDocument/2006/relationships/image" Target="../media/image13.emf"/><Relationship Id="rId4"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xdr:oneCellAnchor>
    <xdr:from>
      <xdr:col>2</xdr:col>
      <xdr:colOff>36462</xdr:colOff>
      <xdr:row>2</xdr:row>
      <xdr:rowOff>2250</xdr:rowOff>
    </xdr:from>
    <xdr:ext cx="184731" cy="264558"/>
    <xdr:sp macro="" textlink="">
      <xdr:nvSpPr>
        <xdr:cNvPr id="2" name="TextBox 1"/>
        <xdr:cNvSpPr txBox="1"/>
      </xdr:nvSpPr>
      <xdr:spPr>
        <a:xfrm>
          <a:off x="468262" y="656300"/>
          <a:ext cx="184731" cy="2645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GB" sz="1100"/>
        </a:p>
      </xdr:txBody>
    </xdr:sp>
    <xdr:clientData/>
  </xdr:oneCellAnchor>
  <mc:AlternateContent xmlns:mc="http://schemas.openxmlformats.org/markup-compatibility/2006">
    <mc:Choice xmlns:a14="http://schemas.microsoft.com/office/drawing/2010/main" Requires="a14">
      <xdr:twoCellAnchor editAs="absolute">
        <xdr:from>
          <xdr:col>0</xdr:col>
          <xdr:colOff>31712</xdr:colOff>
          <xdr:row>1</xdr:row>
          <xdr:rowOff>25400</xdr:rowOff>
        </xdr:from>
        <xdr:to>
          <xdr:col>2</xdr:col>
          <xdr:colOff>755612</xdr:colOff>
          <xdr:row>1</xdr:row>
          <xdr:rowOff>311150</xdr:rowOff>
        </xdr:to>
        <xdr:sp macro="" textlink="">
          <xdr:nvSpPr>
            <xdr:cNvPr id="3149" name="CommandButton1" hidden="1">
              <a:extLst>
                <a:ext uri="{63B3BB69-23CF-44E3-9099-C40C66FF867C}">
                  <a14:compatExt spid="_x0000_s3149"/>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28156</xdr:colOff>
          <xdr:row>1</xdr:row>
          <xdr:rowOff>25400</xdr:rowOff>
        </xdr:from>
        <xdr:to>
          <xdr:col>4</xdr:col>
          <xdr:colOff>783806</xdr:colOff>
          <xdr:row>1</xdr:row>
          <xdr:rowOff>311150</xdr:rowOff>
        </xdr:to>
        <xdr:sp macro="" textlink="">
          <xdr:nvSpPr>
            <xdr:cNvPr id="3151" name="CommandButton2" hidden="1">
              <a:extLst>
                <a:ext uri="{63B3BB69-23CF-44E3-9099-C40C66FF867C}">
                  <a14:compatExt spid="_x0000_s3151"/>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875487</xdr:colOff>
          <xdr:row>1</xdr:row>
          <xdr:rowOff>25400</xdr:rowOff>
        </xdr:from>
        <xdr:to>
          <xdr:col>5</xdr:col>
          <xdr:colOff>88087</xdr:colOff>
          <xdr:row>1</xdr:row>
          <xdr:rowOff>311150</xdr:rowOff>
        </xdr:to>
        <xdr:sp macro="" textlink="">
          <xdr:nvSpPr>
            <xdr:cNvPr id="3152" name="CommandButton3" hidden="1">
              <a:extLst>
                <a:ext uri="{63B3BB69-23CF-44E3-9099-C40C66FF867C}">
                  <a14:compatExt spid="_x0000_s3152"/>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185039</xdr:colOff>
          <xdr:row>1</xdr:row>
          <xdr:rowOff>25400</xdr:rowOff>
        </xdr:from>
        <xdr:to>
          <xdr:col>5</xdr:col>
          <xdr:colOff>1517269</xdr:colOff>
          <xdr:row>1</xdr:row>
          <xdr:rowOff>311150</xdr:rowOff>
        </xdr:to>
        <xdr:sp macro="" textlink="">
          <xdr:nvSpPr>
            <xdr:cNvPr id="3153" name="CommandButton4" hidden="1">
              <a:extLst>
                <a:ext uri="{63B3BB69-23CF-44E3-9099-C40C66FF867C}">
                  <a14:compatExt spid="_x0000_s3153"/>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1606880</xdr:colOff>
          <xdr:row>1</xdr:row>
          <xdr:rowOff>25400</xdr:rowOff>
        </xdr:from>
        <xdr:to>
          <xdr:col>6</xdr:col>
          <xdr:colOff>1048080</xdr:colOff>
          <xdr:row>1</xdr:row>
          <xdr:rowOff>311150</xdr:rowOff>
        </xdr:to>
        <xdr:sp macro="" textlink="">
          <xdr:nvSpPr>
            <xdr:cNvPr id="3178" name="ComboBox1" hidden="1">
              <a:extLst>
                <a:ext uri="{63B3BB69-23CF-44E3-9099-C40C66FF867C}">
                  <a14:compatExt spid="_x0000_s31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1074280</xdr:colOff>
          <xdr:row>1</xdr:row>
          <xdr:rowOff>25400</xdr:rowOff>
        </xdr:from>
        <xdr:to>
          <xdr:col>6</xdr:col>
          <xdr:colOff>1442580</xdr:colOff>
          <xdr:row>1</xdr:row>
          <xdr:rowOff>311150</xdr:rowOff>
        </xdr:to>
        <xdr:sp macro="" textlink="">
          <xdr:nvSpPr>
            <xdr:cNvPr id="3199" name="CommandButton5" hidden="1">
              <a:extLst>
                <a:ext uri="{63B3BB69-23CF-44E3-9099-C40C66FF867C}">
                  <a14:compatExt spid="_x0000_s3199"/>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twoCellAnchor>
    <xdr:from>
      <xdr:col>0</xdr:col>
      <xdr:colOff>144010</xdr:colOff>
      <xdr:row>2</xdr:row>
      <xdr:rowOff>73707</xdr:rowOff>
    </xdr:from>
    <xdr:to>
      <xdr:col>4</xdr:col>
      <xdr:colOff>1939424</xdr:colOff>
      <xdr:row>13</xdr:row>
      <xdr:rowOff>50600</xdr:rowOff>
    </xdr:to>
    <xdr:grpSp>
      <xdr:nvGrpSpPr>
        <xdr:cNvPr id="15" name="Group 14"/>
        <xdr:cNvGrpSpPr/>
      </xdr:nvGrpSpPr>
      <xdr:grpSpPr>
        <a:xfrm>
          <a:off x="144010" y="724582"/>
          <a:ext cx="3438477" cy="2024768"/>
          <a:chOff x="98421" y="729545"/>
          <a:chExt cx="3438477" cy="2532768"/>
        </a:xfrm>
      </xdr:grpSpPr>
      <xdr:pic>
        <xdr:nvPicPr>
          <xdr:cNvPr id="16" name="Picture 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1" y="729545"/>
            <a:ext cx="3438477" cy="2532768"/>
          </a:xfrm>
          <a:prstGeom prst="rect">
            <a:avLst/>
          </a:prstGeom>
        </xdr:spPr>
      </xdr:pic>
      <xdr:pic>
        <xdr:nvPicPr>
          <xdr:cNvPr id="17" name="Picture 16" descr="http://elearn.cs.man.ac.uk/~atlas/images/uom-logo.jpg"/>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79166" y="2831994"/>
            <a:ext cx="664036" cy="325291"/>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8" name="Picture 17" descr="http://imgwpowl.cs.manchester.ac.uk/wp-content/uploads/2011/03/BHIG2.png"/>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878794" y="2807306"/>
            <a:ext cx="664033" cy="391513"/>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241300</xdr:colOff>
          <xdr:row>0</xdr:row>
          <xdr:rowOff>152400</xdr:rowOff>
        </xdr:from>
        <xdr:to>
          <xdr:col>0</xdr:col>
          <xdr:colOff>2393950</xdr:colOff>
          <xdr:row>0</xdr:row>
          <xdr:rowOff>704850</xdr:rowOff>
        </xdr:to>
        <xdr:sp macro="" textlink="">
          <xdr:nvSpPr>
            <xdr:cNvPr id="6145" name="CommandButton1" hidden="1">
              <a:extLst>
                <a:ext uri="{63B3BB69-23CF-44E3-9099-C40C66FF867C}">
                  <a14:compatExt spid="_x0000_s61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254000</xdr:colOff>
          <xdr:row>0</xdr:row>
          <xdr:rowOff>1028700</xdr:rowOff>
        </xdr:from>
        <xdr:to>
          <xdr:col>0</xdr:col>
          <xdr:colOff>2832100</xdr:colOff>
          <xdr:row>0</xdr:row>
          <xdr:rowOff>1390650</xdr:rowOff>
        </xdr:to>
        <xdr:sp macro="" textlink="">
          <xdr:nvSpPr>
            <xdr:cNvPr id="6146" name="CmdBtnInitialiseCheckListSystem" hidden="1">
              <a:extLst>
                <a:ext uri="{63B3BB69-23CF-44E3-9099-C40C66FF867C}">
                  <a14:compatExt spid="_x0000_s61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254000</xdr:colOff>
          <xdr:row>0</xdr:row>
          <xdr:rowOff>1562100</xdr:rowOff>
        </xdr:from>
        <xdr:to>
          <xdr:col>0</xdr:col>
          <xdr:colOff>2813050</xdr:colOff>
          <xdr:row>0</xdr:row>
          <xdr:rowOff>2152650</xdr:rowOff>
        </xdr:to>
        <xdr:sp macro="" textlink="">
          <xdr:nvSpPr>
            <xdr:cNvPr id="6147" name="CmdBtnSetDataValidation" hidden="1">
              <a:extLst>
                <a:ext uri="{63B3BB69-23CF-44E3-9099-C40C66FF867C}">
                  <a14:compatExt spid="_x0000_s61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2914650</xdr:colOff>
          <xdr:row>0</xdr:row>
          <xdr:rowOff>171450</xdr:rowOff>
        </xdr:from>
        <xdr:to>
          <xdr:col>0</xdr:col>
          <xdr:colOff>4984750</xdr:colOff>
          <xdr:row>0</xdr:row>
          <xdr:rowOff>660400</xdr:rowOff>
        </xdr:to>
        <xdr:sp macro="" textlink="">
          <xdr:nvSpPr>
            <xdr:cNvPr id="6148" name="CmdBtnDeletePaper" hidden="1">
              <a:extLst>
                <a:ext uri="{63B3BB69-23CF-44E3-9099-C40C66FF867C}">
                  <a14:compatExt spid="_x0000_s61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165100</xdr:rowOff>
        </xdr:from>
        <xdr:to>
          <xdr:col>4</xdr:col>
          <xdr:colOff>127000</xdr:colOff>
          <xdr:row>0</xdr:row>
          <xdr:rowOff>654050</xdr:rowOff>
        </xdr:to>
        <xdr:sp macro="" textlink="">
          <xdr:nvSpPr>
            <xdr:cNvPr id="6149" name="CommandButton5" hidden="1">
              <a:extLst>
                <a:ext uri="{63B3BB69-23CF-44E3-9099-C40C66FF867C}">
                  <a14:compatExt spid="_x0000_s61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2921000</xdr:colOff>
          <xdr:row>0</xdr:row>
          <xdr:rowOff>1568450</xdr:rowOff>
        </xdr:from>
        <xdr:to>
          <xdr:col>0</xdr:col>
          <xdr:colOff>4991100</xdr:colOff>
          <xdr:row>0</xdr:row>
          <xdr:rowOff>2057400</xdr:rowOff>
        </xdr:to>
        <xdr:sp macro="" textlink="">
          <xdr:nvSpPr>
            <xdr:cNvPr id="6150" name="CommandButton6" hidden="1">
              <a:extLst>
                <a:ext uri="{63B3BB69-23CF-44E3-9099-C40C66FF867C}">
                  <a14:compatExt spid="_x0000_s61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1587500</xdr:rowOff>
        </xdr:from>
        <xdr:to>
          <xdr:col>4</xdr:col>
          <xdr:colOff>127000</xdr:colOff>
          <xdr:row>0</xdr:row>
          <xdr:rowOff>2076450</xdr:rowOff>
        </xdr:to>
        <xdr:sp macro="" textlink="">
          <xdr:nvSpPr>
            <xdr:cNvPr id="6151" name="CommandButton7"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5778500</xdr:colOff>
          <xdr:row>0</xdr:row>
          <xdr:rowOff>2438400</xdr:rowOff>
        </xdr:from>
        <xdr:to>
          <xdr:col>0</xdr:col>
          <xdr:colOff>8267700</xdr:colOff>
          <xdr:row>0</xdr:row>
          <xdr:rowOff>3194050</xdr:rowOff>
        </xdr:to>
        <xdr:sp macro="" textlink="">
          <xdr:nvSpPr>
            <xdr:cNvPr id="6152" name="CommandButton2" hidden="1">
              <a:extLst>
                <a:ext uri="{63B3BB69-23CF-44E3-9099-C40C66FF867C}">
                  <a14:compatExt spid="_x0000_s61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5</xdr:col>
      <xdr:colOff>0</xdr:colOff>
      <xdr:row>0</xdr:row>
      <xdr:rowOff>0</xdr:rowOff>
    </xdr:from>
    <xdr:ext cx="184731" cy="264558"/>
    <xdr:sp macro="" textlink="">
      <xdr:nvSpPr>
        <xdr:cNvPr id="2" name="TextBox 1"/>
        <xdr:cNvSpPr txBox="1"/>
      </xdr:nvSpPr>
      <xdr:spPr>
        <a:xfrm>
          <a:off x="464591" y="640076"/>
          <a:ext cx="184731" cy="2645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GB" sz="1100"/>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image" Target="../media/image12.emf"/><Relationship Id="rId13" Type="http://schemas.openxmlformats.org/officeDocument/2006/relationships/control" Target="../activeX/activeX12.xml"/><Relationship Id="rId18" Type="http://schemas.openxmlformats.org/officeDocument/2006/relationships/image" Target="../media/image17.emf"/><Relationship Id="rId3" Type="http://schemas.openxmlformats.org/officeDocument/2006/relationships/control" Target="../activeX/activeX7.xml"/><Relationship Id="rId7" Type="http://schemas.openxmlformats.org/officeDocument/2006/relationships/control" Target="../activeX/activeX9.xml"/><Relationship Id="rId12" Type="http://schemas.openxmlformats.org/officeDocument/2006/relationships/image" Target="../media/image14.emf"/><Relationship Id="rId17" Type="http://schemas.openxmlformats.org/officeDocument/2006/relationships/control" Target="../activeX/activeX14.xml"/><Relationship Id="rId2" Type="http://schemas.openxmlformats.org/officeDocument/2006/relationships/vmlDrawing" Target="../drawings/vmlDrawing2.vml"/><Relationship Id="rId16" Type="http://schemas.openxmlformats.org/officeDocument/2006/relationships/image" Target="../media/image16.emf"/><Relationship Id="rId1" Type="http://schemas.openxmlformats.org/officeDocument/2006/relationships/drawing" Target="../drawings/drawing2.xml"/><Relationship Id="rId6" Type="http://schemas.openxmlformats.org/officeDocument/2006/relationships/image" Target="../media/image11.emf"/><Relationship Id="rId11" Type="http://schemas.openxmlformats.org/officeDocument/2006/relationships/control" Target="../activeX/activeX11.xml"/><Relationship Id="rId5" Type="http://schemas.openxmlformats.org/officeDocument/2006/relationships/control" Target="../activeX/activeX8.xml"/><Relationship Id="rId15" Type="http://schemas.openxmlformats.org/officeDocument/2006/relationships/control" Target="../activeX/activeX13.xml"/><Relationship Id="rId10" Type="http://schemas.openxmlformats.org/officeDocument/2006/relationships/image" Target="../media/image13.emf"/><Relationship Id="rId4" Type="http://schemas.openxmlformats.org/officeDocument/2006/relationships/image" Target="../media/image10.emf"/><Relationship Id="rId9" Type="http://schemas.openxmlformats.org/officeDocument/2006/relationships/control" Target="../activeX/activeX10.xml"/><Relationship Id="rId14" Type="http://schemas.openxmlformats.org/officeDocument/2006/relationships/image" Target="../media/image15.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I139"/>
  <sheetViews>
    <sheetView showGridLines="0" zoomScale="80" zoomScaleNormal="80" zoomScaleSheetLayoutView="80" workbookViewId="0">
      <pane xSplit="7" ySplit="15" topLeftCell="H18" activePane="bottomRight" state="frozen"/>
      <selection pane="topRight"/>
      <selection pane="bottomLeft"/>
      <selection pane="bottomRight" activeCell="D18" sqref="D18"/>
    </sheetView>
  </sheetViews>
  <sheetFormatPr defaultColWidth="9.26953125" defaultRowHeight="14.5" zeroHeight="1"/>
  <cols>
    <col min="1" max="1" width="6.1796875" style="5" customWidth="1"/>
    <col min="2" max="2" width="5.26953125" style="6" hidden="1" customWidth="1"/>
    <col min="3" max="3" width="11.7265625" style="7" customWidth="1"/>
    <col min="4" max="4" width="5.7265625" style="7" customWidth="1"/>
    <col min="5" max="5" width="27.81640625" style="10" customWidth="1"/>
    <col min="6" max="6" width="23.81640625" style="10" customWidth="1"/>
    <col min="7" max="7" width="21.90625" style="10" customWidth="1"/>
    <col min="8" max="9" width="21.90625" style="7" customWidth="1"/>
    <col min="10" max="16051" width="9.26953125" style="7"/>
    <col min="16052" max="16384" width="8.36328125" style="7" customWidth="1"/>
  </cols>
  <sheetData>
    <row r="1" spans="1:9" ht="24.15" customHeight="1" thickBot="1">
      <c r="A1" s="184" t="s">
        <v>205</v>
      </c>
      <c r="B1" s="185"/>
      <c r="C1" s="185"/>
      <c r="D1" s="185"/>
      <c r="E1" s="185"/>
      <c r="F1" s="185"/>
      <c r="G1" s="185"/>
    </row>
    <row r="2" spans="1:9" ht="27.5" customHeight="1">
      <c r="A2" s="28"/>
      <c r="B2" s="28"/>
      <c r="C2" s="28"/>
      <c r="D2" s="28"/>
      <c r="E2" s="28"/>
      <c r="F2" s="28"/>
      <c r="G2" s="44"/>
    </row>
    <row r="3" spans="1:9" s="22" customFormat="1" ht="15.4" customHeight="1" thickBot="1">
      <c r="A3" s="197"/>
      <c r="B3" s="197"/>
      <c r="C3" s="197"/>
      <c r="D3" s="197"/>
      <c r="E3" s="197"/>
      <c r="F3" s="197"/>
      <c r="G3" s="165" t="s">
        <v>83</v>
      </c>
      <c r="H3" s="169" t="s">
        <v>83</v>
      </c>
      <c r="I3" s="169" t="s">
        <v>83</v>
      </c>
    </row>
    <row r="4" spans="1:9" s="9" customFormat="1" ht="13">
      <c r="A4" s="198"/>
      <c r="B4" s="198"/>
      <c r="C4" s="198"/>
      <c r="D4" s="198"/>
      <c r="E4" s="198"/>
      <c r="F4" s="23" t="s">
        <v>132</v>
      </c>
      <c r="G4" s="177">
        <v>1</v>
      </c>
      <c r="H4" s="170">
        <v>1</v>
      </c>
      <c r="I4" s="170">
        <v>1</v>
      </c>
    </row>
    <row r="5" spans="1:9" s="9" customFormat="1" ht="13">
      <c r="A5" s="198"/>
      <c r="B5" s="198"/>
      <c r="C5" s="198"/>
      <c r="D5" s="198"/>
      <c r="E5" s="198"/>
      <c r="F5" s="24" t="s">
        <v>131</v>
      </c>
      <c r="G5" s="178">
        <v>1</v>
      </c>
      <c r="H5" s="170">
        <v>1</v>
      </c>
      <c r="I5" s="170">
        <v>1</v>
      </c>
    </row>
    <row r="6" spans="1:9" s="9" customFormat="1" ht="13">
      <c r="A6" s="198"/>
      <c r="B6" s="198"/>
      <c r="C6" s="198"/>
      <c r="D6" s="198"/>
      <c r="E6" s="198"/>
      <c r="F6" s="24" t="s">
        <v>166</v>
      </c>
      <c r="G6" s="178">
        <v>1</v>
      </c>
      <c r="H6" s="170">
        <v>1</v>
      </c>
      <c r="I6" s="170">
        <v>1</v>
      </c>
    </row>
    <row r="7" spans="1:9" s="9" customFormat="1" ht="13">
      <c r="A7" s="198"/>
      <c r="B7" s="198"/>
      <c r="C7" s="198"/>
      <c r="D7" s="198"/>
      <c r="E7" s="198"/>
      <c r="F7" s="24" t="s">
        <v>167</v>
      </c>
      <c r="G7" s="178">
        <v>1</v>
      </c>
      <c r="H7" s="170">
        <v>1</v>
      </c>
      <c r="I7" s="170">
        <v>1</v>
      </c>
    </row>
    <row r="8" spans="1:9" s="9" customFormat="1" ht="13.5" thickBot="1">
      <c r="A8" s="198"/>
      <c r="B8" s="198"/>
      <c r="C8" s="198"/>
      <c r="D8" s="198"/>
      <c r="E8" s="198"/>
      <c r="F8" s="25" t="s">
        <v>133</v>
      </c>
      <c r="G8" s="179">
        <v>1</v>
      </c>
      <c r="H8" s="172">
        <v>1</v>
      </c>
      <c r="I8" s="172">
        <v>1</v>
      </c>
    </row>
    <row r="9" spans="1:9" s="9" customFormat="1" ht="6" customHeight="1" thickBot="1">
      <c r="A9" s="198"/>
      <c r="B9" s="198"/>
      <c r="C9" s="198"/>
      <c r="D9" s="198"/>
      <c r="E9" s="198"/>
      <c r="F9" s="26"/>
      <c r="G9" s="114"/>
    </row>
    <row r="10" spans="1:9" s="9" customFormat="1" ht="13.5" customHeight="1" thickBot="1">
      <c r="A10" s="198"/>
      <c r="B10" s="198"/>
      <c r="C10" s="198"/>
      <c r="D10" s="198"/>
      <c r="E10" s="198"/>
      <c r="F10" s="201" t="s">
        <v>3</v>
      </c>
      <c r="G10" s="202"/>
      <c r="H10" s="166" t="s">
        <v>164</v>
      </c>
      <c r="I10" s="166" t="s">
        <v>164</v>
      </c>
    </row>
    <row r="11" spans="1:9" s="9" customFormat="1" ht="20" customHeight="1">
      <c r="A11" s="198"/>
      <c r="B11" s="198"/>
      <c r="C11" s="198"/>
      <c r="D11" s="198"/>
      <c r="E11" s="198"/>
      <c r="F11" s="27" t="s">
        <v>84</v>
      </c>
      <c r="G11" s="93">
        <v>25076044</v>
      </c>
      <c r="H11" s="167">
        <v>25076044</v>
      </c>
      <c r="I11" s="167">
        <v>25989337</v>
      </c>
    </row>
    <row r="12" spans="1:9" s="9" customFormat="1" ht="20" customHeight="1">
      <c r="A12" s="198"/>
      <c r="B12" s="198"/>
      <c r="C12" s="198"/>
      <c r="D12" s="198"/>
      <c r="E12" s="198"/>
      <c r="F12" s="91" t="s">
        <v>117</v>
      </c>
      <c r="G12" s="98" t="s">
        <v>328</v>
      </c>
      <c r="H12" s="173" t="s">
        <v>328</v>
      </c>
      <c r="I12" s="173" t="s">
        <v>329</v>
      </c>
    </row>
    <row r="13" spans="1:9" s="9" customFormat="1" ht="20" customHeight="1" thickBot="1">
      <c r="A13" s="198"/>
      <c r="B13" s="198"/>
      <c r="C13" s="198"/>
      <c r="D13" s="198"/>
      <c r="E13" s="198"/>
      <c r="F13" s="91" t="s">
        <v>118</v>
      </c>
      <c r="G13" s="171">
        <v>2014</v>
      </c>
      <c r="H13" s="174">
        <v>2014</v>
      </c>
      <c r="I13" s="174">
        <v>2015</v>
      </c>
    </row>
    <row r="14" spans="1:9" s="9" customFormat="1" ht="6" customHeight="1" thickBot="1">
      <c r="A14" s="203"/>
      <c r="B14" s="198"/>
      <c r="C14" s="198"/>
      <c r="D14" s="198"/>
      <c r="E14" s="198"/>
      <c r="F14" s="198"/>
      <c r="G14" s="45"/>
    </row>
    <row r="15" spans="1:9" s="8" customFormat="1" ht="27" customHeight="1" thickBot="1">
      <c r="A15" s="192" t="s">
        <v>85</v>
      </c>
      <c r="B15" s="193"/>
      <c r="C15" s="194"/>
      <c r="D15" s="100" t="s">
        <v>1</v>
      </c>
      <c r="E15" s="190" t="s">
        <v>82</v>
      </c>
      <c r="F15" s="191"/>
      <c r="G15" s="100" t="s">
        <v>54</v>
      </c>
      <c r="H15" s="168" t="s">
        <v>165</v>
      </c>
      <c r="I15" s="168" t="s">
        <v>165</v>
      </c>
    </row>
    <row r="16" spans="1:9" s="11" customFormat="1" ht="24" customHeight="1" thickBot="1">
      <c r="A16" s="204" t="s">
        <v>130</v>
      </c>
      <c r="B16" s="148" t="s">
        <v>37</v>
      </c>
      <c r="C16" s="163" t="s">
        <v>126</v>
      </c>
      <c r="D16" s="102">
        <v>1</v>
      </c>
      <c r="E16" s="188" t="s">
        <v>206</v>
      </c>
      <c r="F16" s="189"/>
      <c r="G16" s="29" t="s">
        <v>0</v>
      </c>
      <c r="H16" s="32" t="s">
        <v>0</v>
      </c>
      <c r="I16" s="32" t="s">
        <v>0</v>
      </c>
    </row>
    <row r="17" spans="1:9" s="11" customFormat="1" ht="36" customHeight="1" thickBot="1">
      <c r="A17" s="205"/>
      <c r="B17" s="148" t="s">
        <v>38</v>
      </c>
      <c r="C17" s="163" t="s">
        <v>207</v>
      </c>
      <c r="D17" s="102">
        <v>2</v>
      </c>
      <c r="E17" s="186" t="s">
        <v>208</v>
      </c>
      <c r="F17" s="187"/>
      <c r="G17" s="30" t="s">
        <v>0</v>
      </c>
      <c r="H17" s="104" t="s">
        <v>0</v>
      </c>
      <c r="I17" s="104" t="s">
        <v>0</v>
      </c>
    </row>
    <row r="18" spans="1:9" s="11" customFormat="1" ht="36" customHeight="1">
      <c r="A18" s="205"/>
      <c r="B18" s="181" t="s">
        <v>39</v>
      </c>
      <c r="C18" s="209" t="s">
        <v>209</v>
      </c>
      <c r="D18" s="102">
        <v>3</v>
      </c>
      <c r="E18" s="186" t="s">
        <v>210</v>
      </c>
      <c r="F18" s="187"/>
      <c r="G18" s="30" t="s">
        <v>0</v>
      </c>
      <c r="H18" s="104" t="s">
        <v>0</v>
      </c>
      <c r="I18" s="104" t="s">
        <v>0</v>
      </c>
    </row>
    <row r="19" spans="1:9" s="11" customFormat="1" ht="24" customHeight="1" thickBot="1">
      <c r="A19" s="205"/>
      <c r="B19" s="182"/>
      <c r="C19" s="210"/>
      <c r="D19" s="102">
        <v>4</v>
      </c>
      <c r="E19" s="186" t="s">
        <v>211</v>
      </c>
      <c r="F19" s="187"/>
      <c r="G19" s="30" t="s">
        <v>0</v>
      </c>
      <c r="H19" s="104" t="s">
        <v>0</v>
      </c>
      <c r="I19" s="104" t="s">
        <v>0</v>
      </c>
    </row>
    <row r="20" spans="1:9" s="11" customFormat="1" ht="26" customHeight="1" thickBot="1">
      <c r="A20" s="206"/>
      <c r="B20" s="148" t="s">
        <v>40</v>
      </c>
      <c r="C20" s="163" t="s">
        <v>128</v>
      </c>
      <c r="D20" s="102">
        <v>5</v>
      </c>
      <c r="E20" s="199" t="s">
        <v>212</v>
      </c>
      <c r="F20" s="200"/>
      <c r="G20" s="33" t="s">
        <v>0</v>
      </c>
      <c r="H20" s="103" t="s">
        <v>0</v>
      </c>
      <c r="I20" s="103" t="s">
        <v>0</v>
      </c>
    </row>
    <row r="21" spans="1:9" s="11" customFormat="1" ht="36" customHeight="1" thickBot="1">
      <c r="A21" s="207" t="s">
        <v>129</v>
      </c>
      <c r="B21" s="148" t="s">
        <v>41</v>
      </c>
      <c r="C21" s="163" t="s">
        <v>213</v>
      </c>
      <c r="D21" s="102">
        <v>6</v>
      </c>
      <c r="E21" s="214" t="s">
        <v>214</v>
      </c>
      <c r="F21" s="215"/>
      <c r="G21" s="29" t="s">
        <v>0</v>
      </c>
      <c r="H21" s="32" t="s">
        <v>0</v>
      </c>
      <c r="I21" s="32" t="s">
        <v>0</v>
      </c>
    </row>
    <row r="22" spans="1:9" s="11" customFormat="1" ht="24" customHeight="1">
      <c r="A22" s="208"/>
      <c r="B22" s="181" t="s">
        <v>42</v>
      </c>
      <c r="C22" s="209" t="s">
        <v>215</v>
      </c>
      <c r="D22" s="102">
        <v>7</v>
      </c>
      <c r="E22" s="186" t="s">
        <v>216</v>
      </c>
      <c r="F22" s="187"/>
      <c r="G22" s="30" t="s">
        <v>0</v>
      </c>
      <c r="H22" s="104" t="s">
        <v>0</v>
      </c>
      <c r="I22" s="104" t="s">
        <v>0</v>
      </c>
    </row>
    <row r="23" spans="1:9" s="11" customFormat="1" ht="36" customHeight="1">
      <c r="A23" s="208"/>
      <c r="B23" s="183"/>
      <c r="C23" s="211"/>
      <c r="D23" s="102">
        <v>8</v>
      </c>
      <c r="E23" s="186" t="s">
        <v>219</v>
      </c>
      <c r="F23" s="187"/>
      <c r="G23" s="30" t="s">
        <v>0</v>
      </c>
      <c r="H23" s="104" t="s">
        <v>0</v>
      </c>
      <c r="I23" s="104" t="s">
        <v>0</v>
      </c>
    </row>
    <row r="24" spans="1:9" s="11" customFormat="1" ht="24" customHeight="1">
      <c r="A24" s="208"/>
      <c r="B24" s="183"/>
      <c r="C24" s="211"/>
      <c r="D24" s="102">
        <v>9</v>
      </c>
      <c r="E24" s="186" t="s">
        <v>217</v>
      </c>
      <c r="F24" s="187"/>
      <c r="G24" s="30" t="s">
        <v>0</v>
      </c>
      <c r="H24" s="104" t="s">
        <v>0</v>
      </c>
      <c r="I24" s="104" t="s">
        <v>0</v>
      </c>
    </row>
    <row r="25" spans="1:9" s="11" customFormat="1" ht="23.5" customHeight="1" thickBot="1">
      <c r="A25" s="208"/>
      <c r="B25" s="182"/>
      <c r="C25" s="210"/>
      <c r="D25" s="102">
        <v>10</v>
      </c>
      <c r="E25" s="186" t="s">
        <v>218</v>
      </c>
      <c r="F25" s="187"/>
      <c r="G25" s="30" t="s">
        <v>0</v>
      </c>
      <c r="H25" s="104" t="s">
        <v>0</v>
      </c>
      <c r="I25" s="104" t="s">
        <v>0</v>
      </c>
    </row>
    <row r="26" spans="1:9" s="11" customFormat="1" ht="120" customHeight="1" thickBot="1">
      <c r="A26" s="208"/>
      <c r="B26" s="148" t="s">
        <v>43</v>
      </c>
      <c r="C26" s="163" t="s">
        <v>220</v>
      </c>
      <c r="D26" s="102">
        <v>11</v>
      </c>
      <c r="E26" s="186" t="s">
        <v>221</v>
      </c>
      <c r="F26" s="187"/>
      <c r="G26" s="30" t="s">
        <v>0</v>
      </c>
      <c r="H26" s="104" t="s">
        <v>0</v>
      </c>
      <c r="I26" s="104" t="s">
        <v>0</v>
      </c>
    </row>
    <row r="27" spans="1:9" s="11" customFormat="1" ht="36" customHeight="1">
      <c r="A27" s="208"/>
      <c r="B27" s="181" t="s">
        <v>44</v>
      </c>
      <c r="C27" s="209" t="s">
        <v>222</v>
      </c>
      <c r="D27" s="102">
        <v>12</v>
      </c>
      <c r="E27" s="186" t="s">
        <v>223</v>
      </c>
      <c r="F27" s="187"/>
      <c r="G27" s="30" t="s">
        <v>0</v>
      </c>
      <c r="H27" s="104" t="s">
        <v>0</v>
      </c>
      <c r="I27" s="104" t="s">
        <v>0</v>
      </c>
    </row>
    <row r="28" spans="1:9" s="11" customFormat="1" ht="36" customHeight="1" thickBot="1">
      <c r="A28" s="208"/>
      <c r="B28" s="182"/>
      <c r="C28" s="210"/>
      <c r="D28" s="102">
        <v>13</v>
      </c>
      <c r="E28" s="186" t="s">
        <v>224</v>
      </c>
      <c r="F28" s="187"/>
      <c r="G28" s="30" t="s">
        <v>0</v>
      </c>
      <c r="H28" s="104" t="s">
        <v>0</v>
      </c>
      <c r="I28" s="104" t="s">
        <v>0</v>
      </c>
    </row>
    <row r="29" spans="1:9" s="11" customFormat="1" ht="36" customHeight="1">
      <c r="A29" s="208"/>
      <c r="B29" s="181" t="s">
        <v>45</v>
      </c>
      <c r="C29" s="209" t="s">
        <v>225</v>
      </c>
      <c r="D29" s="102">
        <v>14</v>
      </c>
      <c r="E29" s="195" t="s">
        <v>226</v>
      </c>
      <c r="F29" s="196"/>
      <c r="G29" s="30" t="s">
        <v>0</v>
      </c>
      <c r="H29" s="104" t="s">
        <v>0</v>
      </c>
      <c r="I29" s="104" t="s">
        <v>0</v>
      </c>
    </row>
    <row r="30" spans="1:9" s="11" customFormat="1" ht="36" customHeight="1">
      <c r="A30" s="208"/>
      <c r="B30" s="183"/>
      <c r="C30" s="211"/>
      <c r="D30" s="102">
        <v>15</v>
      </c>
      <c r="E30" s="195" t="s">
        <v>227</v>
      </c>
      <c r="F30" s="196"/>
      <c r="G30" s="30" t="s">
        <v>0</v>
      </c>
      <c r="H30" s="104" t="s">
        <v>0</v>
      </c>
      <c r="I30" s="104" t="s">
        <v>0</v>
      </c>
    </row>
    <row r="31" spans="1:9" s="11" customFormat="1" ht="24" customHeight="1" thickBot="1">
      <c r="A31" s="208"/>
      <c r="B31" s="182"/>
      <c r="C31" s="210"/>
      <c r="D31" s="102">
        <v>16</v>
      </c>
      <c r="E31" s="186" t="s">
        <v>228</v>
      </c>
      <c r="F31" s="187"/>
      <c r="G31" s="30" t="s">
        <v>0</v>
      </c>
      <c r="H31" s="104" t="s">
        <v>0</v>
      </c>
      <c r="I31" s="104" t="s">
        <v>0</v>
      </c>
    </row>
    <row r="32" spans="1:9" s="11" customFormat="1" ht="24" customHeight="1">
      <c r="A32" s="208"/>
      <c r="B32" s="181" t="s">
        <v>46</v>
      </c>
      <c r="C32" s="209" t="s">
        <v>229</v>
      </c>
      <c r="D32" s="102">
        <v>17</v>
      </c>
      <c r="E32" s="212" t="s">
        <v>230</v>
      </c>
      <c r="F32" s="213"/>
      <c r="G32" s="142" t="s">
        <v>0</v>
      </c>
      <c r="H32" s="104" t="s">
        <v>0</v>
      </c>
      <c r="I32" s="104" t="s">
        <v>0</v>
      </c>
    </row>
    <row r="33" spans="1:9" s="11" customFormat="1" ht="24" customHeight="1">
      <c r="A33" s="208"/>
      <c r="B33" s="183"/>
      <c r="C33" s="211"/>
      <c r="D33" s="102">
        <v>18</v>
      </c>
      <c r="E33" s="212" t="s">
        <v>231</v>
      </c>
      <c r="F33" s="213"/>
      <c r="G33" s="142" t="s">
        <v>0</v>
      </c>
      <c r="H33" s="104" t="s">
        <v>0</v>
      </c>
      <c r="I33" s="104" t="s">
        <v>0</v>
      </c>
    </row>
    <row r="34" spans="1:9" s="11" customFormat="1" ht="24" customHeight="1" thickBot="1">
      <c r="A34" s="208"/>
      <c r="B34" s="182"/>
      <c r="C34" s="210"/>
      <c r="D34" s="102">
        <v>19</v>
      </c>
      <c r="E34" s="212" t="s">
        <v>232</v>
      </c>
      <c r="F34" s="213"/>
      <c r="G34" s="142" t="s">
        <v>0</v>
      </c>
      <c r="H34" s="104" t="s">
        <v>0</v>
      </c>
      <c r="I34" s="104" t="s">
        <v>0</v>
      </c>
    </row>
    <row r="35" spans="1:9" s="11" customFormat="1" ht="24" customHeight="1">
      <c r="A35" s="208"/>
      <c r="B35" s="181" t="s">
        <v>134</v>
      </c>
      <c r="C35" s="209" t="s">
        <v>233</v>
      </c>
      <c r="D35" s="102">
        <v>20</v>
      </c>
      <c r="E35" s="212" t="s">
        <v>234</v>
      </c>
      <c r="F35" s="213"/>
      <c r="G35" s="142" t="s">
        <v>0</v>
      </c>
      <c r="H35" s="104" t="s">
        <v>0</v>
      </c>
      <c r="I35" s="104" t="s">
        <v>0</v>
      </c>
    </row>
    <row r="36" spans="1:9" s="11" customFormat="1" ht="24" customHeight="1" thickBot="1">
      <c r="A36" s="208"/>
      <c r="B36" s="182"/>
      <c r="C36" s="210"/>
      <c r="D36" s="102">
        <v>21</v>
      </c>
      <c r="E36" s="212" t="s">
        <v>235</v>
      </c>
      <c r="F36" s="213"/>
      <c r="G36" s="142" t="s">
        <v>0</v>
      </c>
      <c r="H36" s="104" t="s">
        <v>0</v>
      </c>
      <c r="I36" s="104" t="s">
        <v>0</v>
      </c>
    </row>
    <row r="37" spans="1:9" s="11" customFormat="1" ht="24" customHeight="1" thickBot="1">
      <c r="A37" s="208"/>
      <c r="B37" s="148" t="s">
        <v>135</v>
      </c>
      <c r="C37" s="101" t="s">
        <v>236</v>
      </c>
      <c r="D37" s="102">
        <v>22</v>
      </c>
      <c r="E37" s="212" t="s">
        <v>237</v>
      </c>
      <c r="F37" s="213"/>
      <c r="G37" s="142" t="s">
        <v>0</v>
      </c>
      <c r="H37" s="104" t="s">
        <v>0</v>
      </c>
      <c r="I37" s="104" t="s">
        <v>0</v>
      </c>
    </row>
    <row r="38" spans="1:9" s="11" customFormat="1" ht="24" customHeight="1">
      <c r="A38" s="208"/>
      <c r="B38" s="181" t="s">
        <v>136</v>
      </c>
      <c r="C38" s="209" t="s">
        <v>238</v>
      </c>
      <c r="D38" s="102">
        <v>23</v>
      </c>
      <c r="E38" s="212" t="s">
        <v>239</v>
      </c>
      <c r="F38" s="213"/>
      <c r="G38" s="142" t="s">
        <v>0</v>
      </c>
      <c r="H38" s="104" t="s">
        <v>0</v>
      </c>
      <c r="I38" s="104" t="s">
        <v>0</v>
      </c>
    </row>
    <row r="39" spans="1:9" s="11" customFormat="1" ht="24" customHeight="1">
      <c r="A39" s="208"/>
      <c r="B39" s="183"/>
      <c r="C39" s="211"/>
      <c r="D39" s="102">
        <v>24</v>
      </c>
      <c r="E39" s="212" t="s">
        <v>240</v>
      </c>
      <c r="F39" s="213"/>
      <c r="G39" s="142" t="s">
        <v>0</v>
      </c>
      <c r="H39" s="104" t="s">
        <v>0</v>
      </c>
      <c r="I39" s="104" t="s">
        <v>0</v>
      </c>
    </row>
    <row r="40" spans="1:9" s="11" customFormat="1" ht="24" customHeight="1" thickBot="1">
      <c r="A40" s="208"/>
      <c r="B40" s="182"/>
      <c r="C40" s="210"/>
      <c r="D40" s="102">
        <v>25</v>
      </c>
      <c r="E40" s="212" t="s">
        <v>241</v>
      </c>
      <c r="F40" s="213"/>
      <c r="G40" s="33" t="s">
        <v>0</v>
      </c>
      <c r="H40" s="103" t="s">
        <v>0</v>
      </c>
      <c r="I40" s="103" t="s">
        <v>0</v>
      </c>
    </row>
    <row r="41" spans="1:9" s="11" customFormat="1" ht="36" customHeight="1" thickBot="1">
      <c r="A41" s="218" t="s">
        <v>259</v>
      </c>
      <c r="B41" s="148" t="s">
        <v>137</v>
      </c>
      <c r="C41" s="163" t="s">
        <v>242</v>
      </c>
      <c r="D41" s="102">
        <v>26</v>
      </c>
      <c r="E41" s="188" t="s">
        <v>243</v>
      </c>
      <c r="F41" s="189"/>
      <c r="G41" s="32" t="s">
        <v>0</v>
      </c>
      <c r="H41" s="32" t="s">
        <v>0</v>
      </c>
      <c r="I41" s="32" t="s">
        <v>0</v>
      </c>
    </row>
    <row r="42" spans="1:9" s="11" customFormat="1" ht="24" customHeight="1">
      <c r="A42" s="219"/>
      <c r="B42" s="181" t="s">
        <v>138</v>
      </c>
      <c r="C42" s="209" t="s">
        <v>244</v>
      </c>
      <c r="D42" s="102">
        <v>27</v>
      </c>
      <c r="E42" s="186" t="s">
        <v>245</v>
      </c>
      <c r="F42" s="187"/>
      <c r="G42" s="104" t="s">
        <v>0</v>
      </c>
      <c r="H42" s="104" t="s">
        <v>0</v>
      </c>
      <c r="I42" s="104" t="s">
        <v>0</v>
      </c>
    </row>
    <row r="43" spans="1:9" s="11" customFormat="1" ht="24" customHeight="1" thickBot="1">
      <c r="A43" s="219"/>
      <c r="B43" s="182"/>
      <c r="C43" s="210"/>
      <c r="D43" s="102">
        <v>28</v>
      </c>
      <c r="E43" s="186" t="s">
        <v>246</v>
      </c>
      <c r="F43" s="187"/>
      <c r="G43" s="104" t="s">
        <v>0</v>
      </c>
      <c r="H43" s="104" t="s">
        <v>0</v>
      </c>
      <c r="I43" s="104" t="s">
        <v>0</v>
      </c>
    </row>
    <row r="44" spans="1:9" s="11" customFormat="1" ht="24" customHeight="1" thickBot="1">
      <c r="A44" s="219"/>
      <c r="B44" s="148" t="s">
        <v>139</v>
      </c>
      <c r="C44" s="163" t="s">
        <v>247</v>
      </c>
      <c r="D44" s="102">
        <v>29</v>
      </c>
      <c r="E44" s="186" t="s">
        <v>248</v>
      </c>
      <c r="F44" s="187"/>
      <c r="G44" s="104" t="s">
        <v>0</v>
      </c>
      <c r="H44" s="104" t="s">
        <v>0</v>
      </c>
      <c r="I44" s="104" t="s">
        <v>0</v>
      </c>
    </row>
    <row r="45" spans="1:9" s="11" customFormat="1" ht="24" customHeight="1">
      <c r="A45" s="219"/>
      <c r="B45" s="181" t="s">
        <v>140</v>
      </c>
      <c r="C45" s="209" t="s">
        <v>251</v>
      </c>
      <c r="D45" s="102">
        <v>30</v>
      </c>
      <c r="E45" s="186" t="s">
        <v>249</v>
      </c>
      <c r="F45" s="187"/>
      <c r="G45" s="104" t="s">
        <v>0</v>
      </c>
      <c r="H45" s="104" t="s">
        <v>0</v>
      </c>
      <c r="I45" s="104" t="s">
        <v>0</v>
      </c>
    </row>
    <row r="46" spans="1:9" s="11" customFormat="1" ht="24" customHeight="1" thickBot="1">
      <c r="A46" s="220"/>
      <c r="B46" s="182"/>
      <c r="C46" s="210"/>
      <c r="D46" s="102">
        <v>31</v>
      </c>
      <c r="E46" s="186" t="s">
        <v>250</v>
      </c>
      <c r="F46" s="187"/>
      <c r="G46" s="103" t="s">
        <v>0</v>
      </c>
      <c r="H46" s="103" t="s">
        <v>0</v>
      </c>
      <c r="I46" s="103" t="s">
        <v>0</v>
      </c>
    </row>
    <row r="47" spans="1:9" s="11" customFormat="1" ht="24" customHeight="1">
      <c r="A47" s="221" t="s">
        <v>260</v>
      </c>
      <c r="B47" s="181" t="s">
        <v>141</v>
      </c>
      <c r="C47" s="209" t="s">
        <v>255</v>
      </c>
      <c r="D47" s="102">
        <v>32</v>
      </c>
      <c r="E47" s="186" t="s">
        <v>252</v>
      </c>
      <c r="F47" s="187"/>
      <c r="G47" s="32" t="s">
        <v>0</v>
      </c>
      <c r="H47" s="32" t="s">
        <v>0</v>
      </c>
      <c r="I47" s="32" t="s">
        <v>0</v>
      </c>
    </row>
    <row r="48" spans="1:9" s="11" customFormat="1" ht="24" customHeight="1">
      <c r="A48" s="222"/>
      <c r="B48" s="183"/>
      <c r="C48" s="211"/>
      <c r="D48" s="102">
        <v>33</v>
      </c>
      <c r="E48" s="186" t="s">
        <v>253</v>
      </c>
      <c r="F48" s="187"/>
      <c r="G48" s="104" t="s">
        <v>0</v>
      </c>
      <c r="H48" s="104" t="s">
        <v>0</v>
      </c>
      <c r="I48" s="104" t="s">
        <v>0</v>
      </c>
    </row>
    <row r="49" spans="1:9" s="11" customFormat="1" ht="24" customHeight="1" thickBot="1">
      <c r="A49" s="222"/>
      <c r="B49" s="182"/>
      <c r="C49" s="210"/>
      <c r="D49" s="102">
        <v>34</v>
      </c>
      <c r="E49" s="186" t="s">
        <v>254</v>
      </c>
      <c r="F49" s="187"/>
      <c r="G49" s="104" t="s">
        <v>0</v>
      </c>
      <c r="H49" s="104" t="s">
        <v>0</v>
      </c>
      <c r="I49" s="104" t="s">
        <v>0</v>
      </c>
    </row>
    <row r="50" spans="1:9" s="11" customFormat="1" ht="24" customHeight="1" thickBot="1">
      <c r="A50" s="222"/>
      <c r="B50" s="148" t="s">
        <v>142</v>
      </c>
      <c r="C50" s="164" t="s">
        <v>256</v>
      </c>
      <c r="D50" s="102">
        <v>35</v>
      </c>
      <c r="E50" s="216" t="s">
        <v>257</v>
      </c>
      <c r="F50" s="217"/>
      <c r="G50" s="144" t="s">
        <v>0</v>
      </c>
      <c r="H50" s="104" t="s">
        <v>0</v>
      </c>
      <c r="I50" s="104" t="s">
        <v>0</v>
      </c>
    </row>
    <row r="51" spans="1:9" s="11" customFormat="1" ht="24" customHeight="1" thickBot="1">
      <c r="A51" s="223"/>
      <c r="B51" s="149" t="s">
        <v>143</v>
      </c>
      <c r="C51" s="101" t="s">
        <v>127</v>
      </c>
      <c r="D51" s="102">
        <v>36</v>
      </c>
      <c r="E51" s="199" t="s">
        <v>258</v>
      </c>
      <c r="F51" s="200"/>
      <c r="G51" s="103" t="s">
        <v>0</v>
      </c>
      <c r="H51" s="103" t="s">
        <v>0</v>
      </c>
      <c r="I51" s="103" t="s">
        <v>0</v>
      </c>
    </row>
    <row r="52" spans="1:9"/>
    <row r="53" spans="1:9"/>
    <row r="54" spans="1:9"/>
    <row r="55" spans="1:9"/>
    <row r="56" spans="1:9"/>
    <row r="57" spans="1:9"/>
    <row r="58" spans="1:9"/>
    <row r="59" spans="1:9"/>
    <row r="60" spans="1:9"/>
    <row r="61" spans="1:9"/>
    <row r="62" spans="1:9"/>
    <row r="63" spans="1:9"/>
    <row r="64" spans="1:9"/>
    <row r="65"/>
    <row r="66"/>
    <row r="67"/>
    <row r="68"/>
    <row r="69"/>
    <row r="70"/>
    <row r="71"/>
    <row r="72"/>
    <row r="73"/>
    <row r="74"/>
    <row r="75"/>
    <row r="76"/>
    <row r="77"/>
    <row r="78"/>
    <row r="79"/>
    <row r="80"/>
    <row r="81"/>
    <row r="82"/>
    <row r="83"/>
    <row r="84" hidden="1"/>
    <row r="85" hidden="1"/>
    <row r="86" hidden="1"/>
    <row r="87" hidden="1"/>
    <row r="88" hidden="1"/>
    <row r="89" hidden="1"/>
    <row r="90"/>
    <row r="91"/>
    <row r="92"/>
    <row r="93"/>
    <row r="94"/>
    <row r="95"/>
    <row r="96"/>
    <row r="97"/>
    <row r="98"/>
    <row r="99"/>
    <row r="100"/>
    <row r="101"/>
    <row r="102"/>
    <row r="103"/>
    <row r="104"/>
    <row r="105"/>
    <row r="106"/>
    <row r="107"/>
    <row r="108"/>
    <row r="109"/>
    <row r="110"/>
    <row r="111"/>
    <row r="112"/>
    <row r="113"/>
    <row r="114"/>
    <row r="115"/>
    <row r="116"/>
    <row r="117"/>
    <row r="118"/>
    <row r="119"/>
    <row r="120"/>
    <row r="121"/>
    <row r="122"/>
    <row r="123"/>
    <row r="124"/>
    <row r="125"/>
    <row r="126"/>
    <row r="127"/>
    <row r="128"/>
    <row r="129"/>
    <row r="130"/>
    <row r="131"/>
    <row r="132"/>
    <row r="133"/>
    <row r="134"/>
    <row r="135"/>
    <row r="136"/>
    <row r="137"/>
    <row r="138"/>
    <row r="139"/>
  </sheetData>
  <sheetProtection algorithmName="SHA-512" hashValue="odmTIHOEEcs2bLcAUXCN6rHX5KwZKTbINClxuUdLLWuBqKslZ70VsTzJe01eNjxc2UHWMbVHAk7KVrBxA2MP9Q==" saltValue="cinA8WQIX69kjTpi76GBdQ==" spinCount="100000" sheet="1" objects="1" scenarios="1"/>
  <mergeCells count="67">
    <mergeCell ref="C47:C49"/>
    <mergeCell ref="E50:F50"/>
    <mergeCell ref="A41:A46"/>
    <mergeCell ref="A47:A51"/>
    <mergeCell ref="E40:F40"/>
    <mergeCell ref="C35:C36"/>
    <mergeCell ref="C38:C40"/>
    <mergeCell ref="C42:C43"/>
    <mergeCell ref="C45:C46"/>
    <mergeCell ref="E35:F35"/>
    <mergeCell ref="E36:F36"/>
    <mergeCell ref="E37:F37"/>
    <mergeCell ref="E38:F38"/>
    <mergeCell ref="E39:F39"/>
    <mergeCell ref="E44:F44"/>
    <mergeCell ref="C18:C19"/>
    <mergeCell ref="C22:C25"/>
    <mergeCell ref="C27:C28"/>
    <mergeCell ref="C29:C31"/>
    <mergeCell ref="E34:F34"/>
    <mergeCell ref="E32:F32"/>
    <mergeCell ref="E33:F33"/>
    <mergeCell ref="C32:C34"/>
    <mergeCell ref="E25:F25"/>
    <mergeCell ref="E21:F21"/>
    <mergeCell ref="F10:G10"/>
    <mergeCell ref="A14:F14"/>
    <mergeCell ref="E30:F30"/>
    <mergeCell ref="E31:F31"/>
    <mergeCell ref="E51:F51"/>
    <mergeCell ref="E45:F45"/>
    <mergeCell ref="E46:F46"/>
    <mergeCell ref="E47:F47"/>
    <mergeCell ref="E48:F48"/>
    <mergeCell ref="E49:F49"/>
    <mergeCell ref="E28:F28"/>
    <mergeCell ref="E27:F27"/>
    <mergeCell ref="E18:F18"/>
    <mergeCell ref="A16:A20"/>
    <mergeCell ref="A21:A40"/>
    <mergeCell ref="E41:F41"/>
    <mergeCell ref="A1:G1"/>
    <mergeCell ref="E42:F42"/>
    <mergeCell ref="E43:F43"/>
    <mergeCell ref="E16:F16"/>
    <mergeCell ref="E15:F15"/>
    <mergeCell ref="E17:F17"/>
    <mergeCell ref="E19:F19"/>
    <mergeCell ref="A15:C15"/>
    <mergeCell ref="E29:F29"/>
    <mergeCell ref="A3:F3"/>
    <mergeCell ref="E23:F23"/>
    <mergeCell ref="E26:F26"/>
    <mergeCell ref="A4:E13"/>
    <mergeCell ref="E20:F20"/>
    <mergeCell ref="E22:F22"/>
    <mergeCell ref="E24:F24"/>
    <mergeCell ref="B18:B19"/>
    <mergeCell ref="B22:B25"/>
    <mergeCell ref="B27:B28"/>
    <mergeCell ref="B29:B31"/>
    <mergeCell ref="B32:B34"/>
    <mergeCell ref="B35:B36"/>
    <mergeCell ref="B38:B40"/>
    <mergeCell ref="B42:B43"/>
    <mergeCell ref="B45:B46"/>
    <mergeCell ref="B47:B49"/>
  </mergeCells>
  <phoneticPr fontId="5" type="noConversion"/>
  <dataValidations count="2">
    <dataValidation type="list" allowBlank="1" showInputMessage="1" showErrorMessage="1" errorTitle="Invalid Input" error="The value of input must be one of given values." sqref="G16:G139">
      <formula1>INDIRECT("item"&amp;$D16)</formula1>
    </dataValidation>
    <dataValidation type="list" allowBlank="1" showInputMessage="1" showErrorMessage="1" errorTitle="Invalid Input" error="The value of input must be one of given values." sqref="G13">
      <formula1>INDIRECT("listOfYear")</formula1>
    </dataValidation>
  </dataValidations>
  <pageMargins left="0.7" right="0.7" top="0.75" bottom="0.75" header="0.3" footer="0.3"/>
  <pageSetup paperSize="9" orientation="portrait" horizontalDpi="4294967295" verticalDpi="4294967295" r:id="rId1"/>
  <drawing r:id="rId2"/>
  <legacyDrawing r:id="rId3"/>
  <controls>
    <mc:AlternateContent xmlns:mc="http://schemas.openxmlformats.org/markup-compatibility/2006">
      <mc:Choice Requires="x14">
        <control shapeId="3199" r:id="rId4" name="CommandButton5">
          <controlPr defaultSize="0" autoFill="0" autoLine="0" r:id="rId5">
            <anchor>
              <from>
                <xdr:col>6</xdr:col>
                <xdr:colOff>1073150</xdr:colOff>
                <xdr:row>1</xdr:row>
                <xdr:rowOff>25400</xdr:rowOff>
              </from>
              <to>
                <xdr:col>6</xdr:col>
                <xdr:colOff>1441450</xdr:colOff>
                <xdr:row>1</xdr:row>
                <xdr:rowOff>311150</xdr:rowOff>
              </to>
            </anchor>
          </controlPr>
        </control>
      </mc:Choice>
      <mc:Fallback>
        <control shapeId="3199" r:id="rId4" name="CommandButton5"/>
      </mc:Fallback>
    </mc:AlternateContent>
    <mc:AlternateContent xmlns:mc="http://schemas.openxmlformats.org/markup-compatibility/2006">
      <mc:Choice Requires="x14">
        <control shapeId="3153" r:id="rId6" name="CommandButton4">
          <controlPr defaultSize="0" autoFill="0" autoLine="0" r:id="rId7">
            <anchor>
              <from>
                <xdr:col>5</xdr:col>
                <xdr:colOff>184150</xdr:colOff>
                <xdr:row>1</xdr:row>
                <xdr:rowOff>25400</xdr:rowOff>
              </from>
              <to>
                <xdr:col>5</xdr:col>
                <xdr:colOff>1517650</xdr:colOff>
                <xdr:row>1</xdr:row>
                <xdr:rowOff>311150</xdr:rowOff>
              </to>
            </anchor>
          </controlPr>
        </control>
      </mc:Choice>
      <mc:Fallback>
        <control shapeId="3153" r:id="rId6" name="CommandButton4"/>
      </mc:Fallback>
    </mc:AlternateContent>
    <mc:AlternateContent xmlns:mc="http://schemas.openxmlformats.org/markup-compatibility/2006">
      <mc:Choice Requires="x14">
        <control shapeId="3152" r:id="rId8" name="CommandButton3">
          <controlPr defaultSize="0" disabled="1" autoFill="0" autoLine="0" r:id="rId9">
            <anchor>
              <from>
                <xdr:col>4</xdr:col>
                <xdr:colOff>876300</xdr:colOff>
                <xdr:row>1</xdr:row>
                <xdr:rowOff>25400</xdr:rowOff>
              </from>
              <to>
                <xdr:col>5</xdr:col>
                <xdr:colOff>88900</xdr:colOff>
                <xdr:row>1</xdr:row>
                <xdr:rowOff>311150</xdr:rowOff>
              </to>
            </anchor>
          </controlPr>
        </control>
      </mc:Choice>
      <mc:Fallback>
        <control shapeId="3152" r:id="rId8" name="CommandButton3"/>
      </mc:Fallback>
    </mc:AlternateContent>
    <mc:AlternateContent xmlns:mc="http://schemas.openxmlformats.org/markup-compatibility/2006">
      <mc:Choice Requires="x14">
        <control shapeId="3151" r:id="rId10" name="CommandButton2">
          <controlPr defaultSize="0" disabled="1" autoFill="0" autoLine="0" r:id="rId11">
            <anchor>
              <from>
                <xdr:col>3</xdr:col>
                <xdr:colOff>25400</xdr:colOff>
                <xdr:row>1</xdr:row>
                <xdr:rowOff>25400</xdr:rowOff>
              </from>
              <to>
                <xdr:col>4</xdr:col>
                <xdr:colOff>781050</xdr:colOff>
                <xdr:row>1</xdr:row>
                <xdr:rowOff>311150</xdr:rowOff>
              </to>
            </anchor>
          </controlPr>
        </control>
      </mc:Choice>
      <mc:Fallback>
        <control shapeId="3151" r:id="rId10" name="CommandButton2"/>
      </mc:Fallback>
    </mc:AlternateContent>
    <mc:AlternateContent xmlns:mc="http://schemas.openxmlformats.org/markup-compatibility/2006">
      <mc:Choice Requires="x14">
        <control shapeId="3149" r:id="rId12" name="CommandButton1">
          <controlPr defaultSize="0" autoFill="0" autoLine="0" r:id="rId13">
            <anchor>
              <from>
                <xdr:col>0</xdr:col>
                <xdr:colOff>31750</xdr:colOff>
                <xdr:row>1</xdr:row>
                <xdr:rowOff>25400</xdr:rowOff>
              </from>
              <to>
                <xdr:col>2</xdr:col>
                <xdr:colOff>755650</xdr:colOff>
                <xdr:row>1</xdr:row>
                <xdr:rowOff>311150</xdr:rowOff>
              </to>
            </anchor>
          </controlPr>
        </control>
      </mc:Choice>
      <mc:Fallback>
        <control shapeId="3149" r:id="rId12" name="CommandButton1"/>
      </mc:Fallback>
    </mc:AlternateContent>
    <mc:AlternateContent xmlns:mc="http://schemas.openxmlformats.org/markup-compatibility/2006">
      <mc:Choice Requires="x14">
        <control shapeId="3178" r:id="rId14" name="ComboBox1">
          <controlPr defaultSize="0" autoLine="0" r:id="rId15">
            <anchor>
              <from>
                <xdr:col>5</xdr:col>
                <xdr:colOff>1606550</xdr:colOff>
                <xdr:row>1</xdr:row>
                <xdr:rowOff>25400</xdr:rowOff>
              </from>
              <to>
                <xdr:col>6</xdr:col>
                <xdr:colOff>1047750</xdr:colOff>
                <xdr:row>1</xdr:row>
                <xdr:rowOff>311150</xdr:rowOff>
              </to>
            </anchor>
          </controlPr>
        </control>
      </mc:Choice>
      <mc:Fallback>
        <control shapeId="3178" r:id="rId14" name="ComboBox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K563"/>
  <sheetViews>
    <sheetView zoomScale="80" zoomScaleNormal="80" workbookViewId="0">
      <selection activeCell="H24" sqref="H24"/>
    </sheetView>
  </sheetViews>
  <sheetFormatPr defaultColWidth="8.7265625" defaultRowHeight="12.9" customHeight="1"/>
  <cols>
    <col min="1" max="1" width="17.1796875" style="88" customWidth="1"/>
    <col min="2" max="29" width="10.54296875" style="12" customWidth="1"/>
    <col min="30" max="16384" width="8.7265625" style="13"/>
  </cols>
  <sheetData>
    <row r="1" spans="1:37" s="97" customFormat="1" ht="12.9" customHeight="1">
      <c r="A1" s="95" t="s">
        <v>124</v>
      </c>
      <c r="B1" s="96">
        <v>1</v>
      </c>
      <c r="C1" s="96">
        <v>2</v>
      </c>
      <c r="D1" s="96">
        <v>3</v>
      </c>
      <c r="E1" s="96">
        <v>4</v>
      </c>
      <c r="F1" s="96">
        <v>5</v>
      </c>
      <c r="G1" s="96">
        <v>6</v>
      </c>
      <c r="H1" s="96">
        <v>7</v>
      </c>
      <c r="I1" s="96">
        <v>8</v>
      </c>
      <c r="J1" s="96">
        <v>9</v>
      </c>
      <c r="K1" s="96">
        <v>10</v>
      </c>
      <c r="L1" s="96">
        <v>11</v>
      </c>
      <c r="M1" s="96">
        <v>12</v>
      </c>
      <c r="N1" s="112">
        <v>13</v>
      </c>
      <c r="O1" s="112">
        <v>14</v>
      </c>
      <c r="P1" s="112">
        <v>15</v>
      </c>
      <c r="Q1" s="112">
        <v>16</v>
      </c>
      <c r="R1" s="112">
        <v>17</v>
      </c>
      <c r="S1" s="112">
        <v>18</v>
      </c>
      <c r="T1" s="112">
        <v>19</v>
      </c>
      <c r="U1" s="112">
        <v>20</v>
      </c>
      <c r="V1" s="112">
        <v>21</v>
      </c>
      <c r="W1" s="112">
        <v>22</v>
      </c>
      <c r="X1" s="112">
        <v>23</v>
      </c>
      <c r="Y1" s="112">
        <v>24</v>
      </c>
      <c r="Z1" s="112">
        <v>25</v>
      </c>
      <c r="AA1" s="112">
        <v>26</v>
      </c>
      <c r="AB1" s="112">
        <v>27</v>
      </c>
      <c r="AC1" s="112">
        <v>28</v>
      </c>
      <c r="AD1" s="112">
        <v>29</v>
      </c>
      <c r="AE1" s="112">
        <v>30</v>
      </c>
      <c r="AF1" s="112">
        <v>31</v>
      </c>
      <c r="AG1" s="112">
        <v>32</v>
      </c>
      <c r="AH1" s="112">
        <v>33</v>
      </c>
      <c r="AI1" s="112">
        <v>34</v>
      </c>
      <c r="AJ1" s="112">
        <v>35</v>
      </c>
      <c r="AK1" s="112">
        <v>36</v>
      </c>
    </row>
    <row r="2" spans="1:37" ht="12.9" customHeight="1">
      <c r="B2" s="180"/>
      <c r="C2" s="180"/>
      <c r="D2" s="180"/>
      <c r="E2" s="180"/>
      <c r="F2" s="180"/>
      <c r="G2" s="180"/>
      <c r="H2" s="180"/>
      <c r="I2" s="180"/>
      <c r="J2" s="180"/>
      <c r="K2" s="180"/>
      <c r="L2" s="180"/>
      <c r="M2" s="180"/>
      <c r="N2" s="180"/>
      <c r="O2" s="180"/>
      <c r="P2" s="180"/>
      <c r="Q2" s="180"/>
      <c r="R2" s="180"/>
      <c r="S2" s="180"/>
      <c r="T2" s="180"/>
      <c r="U2" s="180"/>
      <c r="V2" s="180"/>
      <c r="W2" s="180"/>
      <c r="X2" s="180"/>
      <c r="Y2" s="180"/>
      <c r="Z2" s="180"/>
      <c r="AA2" s="180"/>
      <c r="AB2" s="180"/>
      <c r="AC2" s="180"/>
      <c r="AD2" s="180"/>
      <c r="AE2" s="180"/>
      <c r="AF2" s="180"/>
      <c r="AG2" s="180"/>
      <c r="AH2" s="180"/>
      <c r="AI2" s="180"/>
      <c r="AJ2" s="180"/>
      <c r="AK2" s="180"/>
    </row>
    <row r="3" spans="1:37" s="21" customFormat="1" ht="12.9" customHeight="1">
      <c r="A3" s="89"/>
      <c r="B3" s="19"/>
      <c r="C3" s="19"/>
      <c r="D3" s="19" t="s">
        <v>53</v>
      </c>
      <c r="E3" s="19"/>
      <c r="F3" s="19" t="s">
        <v>53</v>
      </c>
      <c r="G3" s="19"/>
      <c r="H3" s="19" t="s">
        <v>53</v>
      </c>
      <c r="I3" s="19" t="s">
        <v>53</v>
      </c>
      <c r="J3" s="19" t="s">
        <v>53</v>
      </c>
      <c r="K3" s="20"/>
      <c r="L3" s="19" t="s">
        <v>53</v>
      </c>
      <c r="M3" s="19" t="s">
        <v>53</v>
      </c>
      <c r="N3" s="19" t="s">
        <v>53</v>
      </c>
      <c r="O3" s="19" t="s">
        <v>53</v>
      </c>
      <c r="P3" s="19" t="s">
        <v>53</v>
      </c>
      <c r="Q3" s="19"/>
      <c r="R3" s="19" t="s">
        <v>53</v>
      </c>
      <c r="S3" s="20"/>
      <c r="T3" s="19" t="s">
        <v>53</v>
      </c>
      <c r="U3" s="19" t="s">
        <v>53</v>
      </c>
      <c r="V3" s="20"/>
      <c r="W3" s="19" t="s">
        <v>53</v>
      </c>
      <c r="X3" s="19" t="s">
        <v>53</v>
      </c>
      <c r="Y3" s="19" t="s">
        <v>53</v>
      </c>
      <c r="Z3" s="20"/>
      <c r="AA3" s="19" t="s">
        <v>53</v>
      </c>
      <c r="AB3" s="19" t="s">
        <v>53</v>
      </c>
      <c r="AC3" s="19" t="s">
        <v>53</v>
      </c>
      <c r="AD3" s="19" t="s">
        <v>53</v>
      </c>
      <c r="AE3" s="19" t="s">
        <v>53</v>
      </c>
      <c r="AF3" s="19" t="s">
        <v>53</v>
      </c>
      <c r="AG3" s="19" t="s">
        <v>53</v>
      </c>
      <c r="AK3" s="19" t="s">
        <v>53</v>
      </c>
    </row>
    <row r="4" spans="1:37" s="16" customFormat="1" ht="12.9" customHeight="1">
      <c r="A4" s="90" t="str">
        <f ca="1">TEXT(YEAR(NOW()),0)</f>
        <v>2015</v>
      </c>
      <c r="B4" s="14" t="s">
        <v>0</v>
      </c>
      <c r="C4" s="14" t="s">
        <v>0</v>
      </c>
      <c r="D4" s="14" t="s">
        <v>0</v>
      </c>
      <c r="E4" s="14" t="s">
        <v>0</v>
      </c>
      <c r="F4" s="14" t="s">
        <v>0</v>
      </c>
      <c r="G4" s="14" t="s">
        <v>0</v>
      </c>
      <c r="H4" s="14" t="s">
        <v>0</v>
      </c>
      <c r="I4" s="14" t="s">
        <v>0</v>
      </c>
      <c r="J4" s="14" t="s">
        <v>0</v>
      </c>
      <c r="K4" s="14" t="s">
        <v>0</v>
      </c>
      <c r="L4" s="14" t="s">
        <v>0</v>
      </c>
      <c r="M4" s="14" t="s">
        <v>0</v>
      </c>
      <c r="N4" s="14" t="s">
        <v>0</v>
      </c>
      <c r="O4" s="14" t="s">
        <v>0</v>
      </c>
      <c r="P4" s="14" t="s">
        <v>0</v>
      </c>
      <c r="Q4" s="14" t="s">
        <v>0</v>
      </c>
      <c r="R4" s="14" t="s">
        <v>0</v>
      </c>
      <c r="S4" s="14" t="s">
        <v>0</v>
      </c>
      <c r="T4" s="14" t="s">
        <v>0</v>
      </c>
      <c r="U4" s="14" t="s">
        <v>0</v>
      </c>
      <c r="V4" s="14" t="s">
        <v>0</v>
      </c>
      <c r="W4" s="14" t="s">
        <v>0</v>
      </c>
      <c r="X4" s="14" t="s">
        <v>0</v>
      </c>
      <c r="Y4" s="14" t="s">
        <v>0</v>
      </c>
      <c r="Z4" s="14" t="s">
        <v>0</v>
      </c>
      <c r="AA4" s="14" t="s">
        <v>0</v>
      </c>
      <c r="AB4" s="14" t="s">
        <v>0</v>
      </c>
      <c r="AC4" s="14" t="s">
        <v>0</v>
      </c>
      <c r="AD4" s="14" t="s">
        <v>0</v>
      </c>
      <c r="AE4" s="14" t="s">
        <v>0</v>
      </c>
      <c r="AF4" s="14" t="s">
        <v>0</v>
      </c>
      <c r="AG4" s="14" t="s">
        <v>0</v>
      </c>
      <c r="AH4" s="14" t="s">
        <v>0</v>
      </c>
      <c r="AI4" s="14" t="s">
        <v>0</v>
      </c>
      <c r="AJ4" s="14" t="s">
        <v>0</v>
      </c>
      <c r="AK4" s="14" t="s">
        <v>0</v>
      </c>
    </row>
    <row r="5" spans="1:37" s="16" customFormat="1" ht="39">
      <c r="A5" s="90" t="str">
        <f ca="1">TEXT(A4-1,0)</f>
        <v>2014</v>
      </c>
      <c r="B5" s="17" t="s">
        <v>2</v>
      </c>
      <c r="C5" s="17" t="s">
        <v>2</v>
      </c>
      <c r="D5" s="17" t="s">
        <v>2</v>
      </c>
      <c r="E5" s="17" t="s">
        <v>2</v>
      </c>
      <c r="F5" s="17" t="s">
        <v>2</v>
      </c>
      <c r="G5" s="17" t="s">
        <v>2</v>
      </c>
      <c r="H5" s="17" t="s">
        <v>2</v>
      </c>
      <c r="I5" s="17" t="s">
        <v>2</v>
      </c>
      <c r="J5" s="17" t="s">
        <v>2</v>
      </c>
      <c r="K5" s="17" t="s">
        <v>2</v>
      </c>
      <c r="L5" s="17" t="s">
        <v>2</v>
      </c>
      <c r="M5" s="17" t="s">
        <v>2</v>
      </c>
      <c r="N5" s="17" t="s">
        <v>2</v>
      </c>
      <c r="O5" s="17" t="s">
        <v>2</v>
      </c>
      <c r="P5" s="17" t="s">
        <v>2</v>
      </c>
      <c r="Q5" s="17" t="s">
        <v>2</v>
      </c>
      <c r="R5" s="17" t="s">
        <v>2</v>
      </c>
      <c r="S5" s="17" t="s">
        <v>2</v>
      </c>
      <c r="T5" s="17" t="s">
        <v>2</v>
      </c>
      <c r="U5" s="17" t="s">
        <v>2</v>
      </c>
      <c r="V5" s="17" t="s">
        <v>2</v>
      </c>
      <c r="W5" s="17" t="s">
        <v>2</v>
      </c>
      <c r="X5" s="17" t="s">
        <v>2</v>
      </c>
      <c r="Y5" s="17" t="s">
        <v>2</v>
      </c>
      <c r="Z5" s="17" t="s">
        <v>2</v>
      </c>
      <c r="AA5" s="17" t="s">
        <v>2</v>
      </c>
      <c r="AB5" s="17" t="s">
        <v>2</v>
      </c>
      <c r="AC5" s="17" t="s">
        <v>2</v>
      </c>
      <c r="AD5" s="17" t="s">
        <v>2</v>
      </c>
      <c r="AE5" s="17" t="s">
        <v>2</v>
      </c>
      <c r="AF5" s="17" t="s">
        <v>2</v>
      </c>
      <c r="AG5" s="17" t="s">
        <v>2</v>
      </c>
      <c r="AH5" s="17" t="s">
        <v>2</v>
      </c>
      <c r="AI5" s="17" t="s">
        <v>2</v>
      </c>
      <c r="AJ5" s="17" t="s">
        <v>2</v>
      </c>
      <c r="AK5" s="17" t="s">
        <v>2</v>
      </c>
    </row>
    <row r="6" spans="1:37" s="16" customFormat="1" ht="26.15" customHeight="1">
      <c r="A6" s="90" t="str">
        <f t="shared" ref="A6:A59" ca="1" si="0">TEXT(A5-1,0)</f>
        <v>2013</v>
      </c>
      <c r="B6" s="18" t="s">
        <v>51</v>
      </c>
      <c r="C6" s="18" t="s">
        <v>51</v>
      </c>
      <c r="D6" s="18" t="s">
        <v>51</v>
      </c>
      <c r="E6" s="18" t="s">
        <v>51</v>
      </c>
      <c r="F6" s="18" t="s">
        <v>51</v>
      </c>
      <c r="G6" s="18" t="s">
        <v>51</v>
      </c>
      <c r="H6" s="18" t="s">
        <v>51</v>
      </c>
      <c r="I6" s="18" t="s">
        <v>51</v>
      </c>
      <c r="J6" s="18" t="s">
        <v>51</v>
      </c>
      <c r="K6" s="18" t="s">
        <v>51</v>
      </c>
      <c r="L6" s="18" t="s">
        <v>51</v>
      </c>
      <c r="M6" s="18" t="s">
        <v>51</v>
      </c>
      <c r="N6" s="18" t="s">
        <v>51</v>
      </c>
      <c r="O6" s="18" t="s">
        <v>51</v>
      </c>
      <c r="P6" s="18" t="s">
        <v>51</v>
      </c>
      <c r="Q6" s="18" t="s">
        <v>51</v>
      </c>
      <c r="R6" s="18" t="s">
        <v>51</v>
      </c>
      <c r="S6" s="18" t="s">
        <v>51</v>
      </c>
      <c r="T6" s="18" t="s">
        <v>51</v>
      </c>
      <c r="U6" s="18" t="s">
        <v>51</v>
      </c>
      <c r="V6" s="18" t="s">
        <v>51</v>
      </c>
      <c r="W6" s="18" t="s">
        <v>51</v>
      </c>
      <c r="X6" s="18" t="s">
        <v>51</v>
      </c>
      <c r="Y6" s="18" t="s">
        <v>51</v>
      </c>
      <c r="Z6" s="18" t="s">
        <v>51</v>
      </c>
      <c r="AA6" s="18" t="s">
        <v>51</v>
      </c>
      <c r="AB6" s="18" t="s">
        <v>51</v>
      </c>
      <c r="AC6" s="18" t="s">
        <v>51</v>
      </c>
      <c r="AD6" s="18" t="s">
        <v>51</v>
      </c>
      <c r="AE6" s="18" t="s">
        <v>51</v>
      </c>
      <c r="AF6" s="18" t="s">
        <v>51</v>
      </c>
      <c r="AG6" s="18" t="s">
        <v>51</v>
      </c>
      <c r="AH6" s="18" t="s">
        <v>51</v>
      </c>
      <c r="AI6" s="18" t="s">
        <v>51</v>
      </c>
      <c r="AJ6" s="18" t="s">
        <v>51</v>
      </c>
      <c r="AK6" s="18" t="s">
        <v>51</v>
      </c>
    </row>
    <row r="7" spans="1:37" s="16" customFormat="1" ht="12.9" customHeight="1">
      <c r="A7" s="90" t="str">
        <f t="shared" ca="1" si="0"/>
        <v>2012</v>
      </c>
      <c r="B7" s="18"/>
      <c r="C7" s="18"/>
      <c r="D7" s="18"/>
      <c r="E7" s="17"/>
      <c r="F7" s="17"/>
      <c r="G7" s="18"/>
      <c r="H7" s="18"/>
      <c r="I7" s="18"/>
      <c r="J7" s="18"/>
      <c r="K7" s="18"/>
      <c r="L7" s="18"/>
      <c r="M7" s="18"/>
      <c r="N7" s="18"/>
      <c r="O7" s="18"/>
      <c r="P7" s="18"/>
      <c r="Q7" s="18"/>
      <c r="R7" s="17"/>
      <c r="S7" s="18"/>
      <c r="T7" s="18"/>
      <c r="U7" s="18"/>
      <c r="V7" s="18"/>
      <c r="W7" s="17"/>
      <c r="X7" s="18"/>
      <c r="Y7" s="18"/>
      <c r="Z7" s="18"/>
      <c r="AA7" s="18"/>
      <c r="AB7" s="18"/>
      <c r="AC7" s="18"/>
      <c r="AD7" s="18"/>
      <c r="AE7" s="15"/>
      <c r="AF7" s="15"/>
    </row>
    <row r="8" spans="1:37" s="16" customFormat="1" ht="12.9" customHeight="1">
      <c r="A8" s="90" t="str">
        <f t="shared" ca="1" si="0"/>
        <v>2011</v>
      </c>
      <c r="B8" s="18"/>
      <c r="C8" s="18"/>
      <c r="D8" s="18"/>
      <c r="E8" s="18"/>
      <c r="F8" s="18"/>
      <c r="G8" s="18"/>
      <c r="H8" s="18"/>
      <c r="I8" s="18"/>
      <c r="J8" s="18"/>
      <c r="K8" s="18"/>
      <c r="L8" s="18"/>
      <c r="M8" s="18"/>
      <c r="N8" s="18"/>
      <c r="O8" s="18"/>
      <c r="P8" s="18"/>
      <c r="Q8" s="18"/>
      <c r="R8" s="18"/>
      <c r="S8" s="18"/>
      <c r="T8" s="18"/>
      <c r="U8" s="18"/>
      <c r="V8" s="18"/>
      <c r="W8" s="15"/>
      <c r="X8" s="18"/>
      <c r="Y8" s="18"/>
      <c r="Z8" s="18"/>
      <c r="AA8" s="18"/>
      <c r="AB8" s="18"/>
      <c r="AC8" s="18"/>
      <c r="AD8" s="18"/>
      <c r="AE8" s="15"/>
      <c r="AF8" s="15"/>
    </row>
    <row r="9" spans="1:37" s="16" customFormat="1" ht="12.9" customHeight="1">
      <c r="A9" s="90" t="str">
        <f t="shared" ca="1" si="0"/>
        <v>2010</v>
      </c>
      <c r="B9" s="18"/>
      <c r="C9" s="18"/>
      <c r="D9" s="18"/>
      <c r="E9" s="18"/>
      <c r="F9" s="18"/>
      <c r="G9" s="18"/>
      <c r="H9" s="18"/>
      <c r="I9" s="18"/>
      <c r="J9" s="18"/>
      <c r="K9" s="18"/>
      <c r="L9" s="18"/>
      <c r="M9" s="18"/>
      <c r="N9" s="18"/>
      <c r="O9" s="18"/>
      <c r="P9" s="18"/>
      <c r="Q9" s="18"/>
      <c r="R9" s="18"/>
      <c r="S9" s="18"/>
      <c r="T9" s="18"/>
      <c r="U9" s="18"/>
      <c r="V9" s="18"/>
      <c r="W9" s="18"/>
      <c r="X9" s="18"/>
      <c r="Y9" s="18"/>
      <c r="Z9" s="18"/>
      <c r="AA9" s="18"/>
      <c r="AB9" s="18"/>
      <c r="AC9" s="18"/>
      <c r="AD9" s="18"/>
      <c r="AE9" s="15"/>
      <c r="AF9" s="15"/>
    </row>
    <row r="10" spans="1:37" s="16" customFormat="1" ht="12.9" customHeight="1">
      <c r="A10" s="90" t="str">
        <f t="shared" ca="1" si="0"/>
        <v>2009</v>
      </c>
      <c r="B10" s="18"/>
      <c r="C10" s="18"/>
      <c r="D10" s="18"/>
      <c r="E10" s="18"/>
      <c r="F10" s="18"/>
      <c r="G10" s="18"/>
      <c r="H10" s="18"/>
      <c r="I10" s="18"/>
      <c r="J10" s="18"/>
      <c r="K10" s="18"/>
      <c r="L10" s="18"/>
      <c r="M10" s="18"/>
      <c r="N10" s="18"/>
      <c r="O10" s="18"/>
      <c r="P10" s="18"/>
      <c r="Q10" s="18"/>
      <c r="R10" s="18"/>
      <c r="S10" s="18"/>
      <c r="T10" s="18"/>
      <c r="U10" s="18"/>
      <c r="V10" s="18"/>
      <c r="W10" s="18"/>
      <c r="X10" s="18"/>
      <c r="Y10" s="18"/>
      <c r="Z10" s="18"/>
      <c r="AA10" s="18"/>
      <c r="AB10" s="18"/>
      <c r="AC10" s="18"/>
      <c r="AD10" s="18"/>
      <c r="AE10" s="15"/>
      <c r="AF10" s="15"/>
    </row>
    <row r="11" spans="1:37" s="16" customFormat="1" ht="12.9" customHeight="1">
      <c r="A11" s="90" t="str">
        <f t="shared" ca="1" si="0"/>
        <v>2008</v>
      </c>
      <c r="B11" s="18"/>
      <c r="C11" s="18"/>
      <c r="D11" s="18"/>
      <c r="E11" s="18"/>
      <c r="F11" s="18"/>
      <c r="G11" s="18"/>
      <c r="H11" s="18"/>
      <c r="I11" s="18"/>
      <c r="J11" s="18"/>
      <c r="K11" s="18"/>
      <c r="L11" s="18"/>
      <c r="M11" s="18"/>
      <c r="N11" s="18"/>
      <c r="O11" s="18"/>
      <c r="P11" s="18"/>
      <c r="Q11" s="18"/>
      <c r="R11" s="18"/>
      <c r="S11" s="18"/>
      <c r="T11" s="18"/>
      <c r="U11" s="18"/>
      <c r="V11" s="18"/>
      <c r="W11" s="18"/>
      <c r="X11" s="18"/>
      <c r="Y11" s="18"/>
      <c r="Z11" s="18"/>
      <c r="AA11" s="18"/>
      <c r="AB11" s="18"/>
      <c r="AC11" s="18"/>
      <c r="AD11" s="18"/>
      <c r="AE11" s="15"/>
      <c r="AF11" s="15"/>
    </row>
    <row r="12" spans="1:37" s="16" customFormat="1" ht="12.9" customHeight="1">
      <c r="A12" s="90" t="str">
        <f t="shared" ca="1" si="0"/>
        <v>2007</v>
      </c>
      <c r="B12" s="18"/>
      <c r="C12" s="18"/>
      <c r="D12" s="18"/>
      <c r="E12" s="18"/>
      <c r="F12" s="18"/>
      <c r="G12" s="18"/>
      <c r="H12" s="18"/>
      <c r="I12" s="18"/>
      <c r="J12" s="18"/>
      <c r="K12" s="18"/>
      <c r="L12" s="18"/>
      <c r="M12" s="18"/>
      <c r="N12" s="18"/>
      <c r="O12" s="18"/>
      <c r="P12" s="18"/>
      <c r="Q12" s="18"/>
      <c r="R12" s="18"/>
      <c r="S12" s="18"/>
      <c r="T12" s="18"/>
      <c r="U12" s="18"/>
      <c r="V12" s="18"/>
      <c r="W12" s="18"/>
      <c r="X12" s="18"/>
      <c r="Y12" s="18"/>
      <c r="Z12" s="18"/>
      <c r="AA12" s="18"/>
      <c r="AB12" s="18"/>
      <c r="AC12" s="18"/>
      <c r="AD12" s="18"/>
      <c r="AE12" s="15"/>
      <c r="AF12" s="15"/>
    </row>
    <row r="13" spans="1:37" s="16" customFormat="1" ht="12.9" customHeight="1">
      <c r="A13" s="90" t="str">
        <f t="shared" ca="1" si="0"/>
        <v>2006</v>
      </c>
      <c r="B13" s="15"/>
      <c r="C13" s="15"/>
      <c r="D13" s="15"/>
      <c r="E13" s="15"/>
      <c r="F13" s="15"/>
      <c r="G13" s="15"/>
      <c r="H13" s="15"/>
      <c r="I13" s="15"/>
      <c r="J13" s="15"/>
      <c r="K13" s="15"/>
      <c r="L13" s="15"/>
      <c r="M13" s="15"/>
      <c r="N13" s="15"/>
      <c r="O13" s="15"/>
      <c r="P13" s="15"/>
      <c r="Q13" s="15"/>
      <c r="R13" s="15"/>
      <c r="S13" s="15"/>
      <c r="T13" s="15"/>
      <c r="U13" s="15"/>
      <c r="V13" s="15"/>
      <c r="W13" s="15"/>
      <c r="X13" s="15"/>
      <c r="Y13" s="15"/>
      <c r="Z13" s="15"/>
      <c r="AA13" s="15"/>
      <c r="AB13" s="15"/>
      <c r="AC13" s="15"/>
      <c r="AD13" s="15"/>
      <c r="AE13" s="15"/>
      <c r="AF13" s="15"/>
    </row>
    <row r="14" spans="1:37" s="16" customFormat="1" ht="12.9" customHeight="1">
      <c r="A14" s="90" t="str">
        <f t="shared" ca="1" si="0"/>
        <v>2005</v>
      </c>
      <c r="B14" s="15"/>
      <c r="C14" s="15"/>
      <c r="D14" s="15"/>
      <c r="E14" s="15"/>
      <c r="F14" s="15"/>
      <c r="G14" s="15"/>
      <c r="H14" s="15"/>
      <c r="I14" s="15"/>
      <c r="J14" s="15"/>
      <c r="K14" s="15"/>
      <c r="L14" s="15"/>
      <c r="M14" s="15"/>
      <c r="N14" s="15"/>
      <c r="O14" s="15"/>
      <c r="P14" s="15"/>
      <c r="Q14" s="15"/>
      <c r="R14" s="15"/>
      <c r="S14" s="15"/>
      <c r="T14" s="15"/>
      <c r="U14" s="15"/>
      <c r="V14" s="15"/>
      <c r="W14" s="15"/>
      <c r="X14" s="15"/>
      <c r="Y14" s="15"/>
      <c r="Z14" s="15"/>
      <c r="AA14" s="15"/>
      <c r="AB14" s="15"/>
      <c r="AC14" s="15"/>
      <c r="AD14" s="15"/>
      <c r="AE14" s="15"/>
      <c r="AF14" s="15"/>
    </row>
    <row r="15" spans="1:37" s="16" customFormat="1" ht="12.9" customHeight="1">
      <c r="A15" s="90" t="str">
        <f t="shared" ca="1" si="0"/>
        <v>2004</v>
      </c>
      <c r="B15" s="15"/>
      <c r="C15" s="15"/>
      <c r="D15" s="15"/>
      <c r="E15" s="15"/>
      <c r="F15" s="15"/>
      <c r="G15" s="15"/>
      <c r="H15" s="15"/>
      <c r="I15" s="15"/>
      <c r="J15" s="15"/>
      <c r="K15" s="15"/>
      <c r="L15" s="15"/>
      <c r="M15" s="15"/>
      <c r="N15" s="15"/>
      <c r="O15" s="15"/>
      <c r="P15" s="15"/>
      <c r="Q15" s="15"/>
      <c r="R15" s="15"/>
      <c r="S15" s="15"/>
      <c r="T15" s="15"/>
      <c r="U15" s="15"/>
      <c r="V15" s="15"/>
      <c r="W15" s="15"/>
      <c r="X15" s="15"/>
      <c r="Y15" s="15"/>
      <c r="Z15" s="15"/>
      <c r="AA15" s="15"/>
      <c r="AB15" s="15"/>
      <c r="AC15" s="15"/>
      <c r="AD15" s="15"/>
      <c r="AE15" s="15"/>
      <c r="AF15" s="15"/>
    </row>
    <row r="16" spans="1:37" s="16" customFormat="1" ht="12.9" customHeight="1">
      <c r="A16" s="90" t="str">
        <f t="shared" ca="1" si="0"/>
        <v>2003</v>
      </c>
      <c r="B16" s="15"/>
      <c r="C16" s="15"/>
      <c r="D16" s="15"/>
      <c r="E16" s="15"/>
      <c r="F16" s="15"/>
      <c r="G16" s="15"/>
      <c r="H16" s="15"/>
      <c r="I16" s="15"/>
      <c r="J16" s="15"/>
      <c r="K16" s="15"/>
      <c r="L16" s="15"/>
      <c r="M16" s="15"/>
      <c r="N16" s="15"/>
      <c r="O16" s="15"/>
      <c r="P16" s="15"/>
      <c r="Q16" s="15"/>
      <c r="R16" s="15"/>
      <c r="S16" s="15"/>
      <c r="T16" s="15"/>
      <c r="U16" s="15"/>
      <c r="V16" s="15"/>
      <c r="W16" s="15"/>
      <c r="X16" s="15"/>
      <c r="Y16" s="15"/>
      <c r="Z16" s="15"/>
      <c r="AA16" s="15"/>
      <c r="AB16" s="15"/>
      <c r="AC16" s="15"/>
      <c r="AD16" s="15"/>
      <c r="AE16" s="15"/>
      <c r="AF16" s="15"/>
    </row>
    <row r="17" spans="1:32" s="16" customFormat="1" ht="12.9" customHeight="1">
      <c r="A17" s="90" t="str">
        <f t="shared" ca="1" si="0"/>
        <v>2002</v>
      </c>
      <c r="B17" s="15"/>
      <c r="C17" s="15"/>
      <c r="D17" s="15"/>
      <c r="E17" s="15"/>
      <c r="F17" s="15"/>
      <c r="G17" s="15"/>
      <c r="H17" s="15"/>
      <c r="I17" s="15"/>
      <c r="J17" s="15"/>
      <c r="K17" s="15"/>
      <c r="L17" s="15"/>
      <c r="M17" s="15"/>
      <c r="N17" s="15"/>
      <c r="O17" s="15"/>
      <c r="P17" s="15"/>
      <c r="Q17" s="15"/>
      <c r="R17" s="15"/>
      <c r="S17" s="15"/>
      <c r="T17" s="15"/>
      <c r="U17" s="15"/>
      <c r="V17" s="15"/>
      <c r="W17" s="15"/>
      <c r="X17" s="15"/>
      <c r="Y17" s="15"/>
      <c r="Z17" s="15"/>
      <c r="AA17" s="15"/>
      <c r="AB17" s="15"/>
      <c r="AC17" s="15"/>
      <c r="AD17" s="15"/>
      <c r="AE17" s="15"/>
      <c r="AF17" s="15"/>
    </row>
    <row r="18" spans="1:32" s="16" customFormat="1" ht="12.9" customHeight="1">
      <c r="A18" s="90" t="str">
        <f t="shared" ca="1" si="0"/>
        <v>2001</v>
      </c>
      <c r="B18" s="15"/>
      <c r="C18" s="15"/>
      <c r="D18" s="15"/>
      <c r="E18" s="15"/>
      <c r="F18" s="15"/>
      <c r="G18" s="15"/>
      <c r="H18" s="15"/>
      <c r="I18" s="15"/>
      <c r="J18" s="15"/>
      <c r="K18" s="15"/>
      <c r="L18" s="15"/>
      <c r="M18" s="15"/>
      <c r="N18" s="15"/>
      <c r="O18" s="15"/>
      <c r="P18" s="15"/>
      <c r="Q18" s="15"/>
      <c r="R18" s="15"/>
      <c r="S18" s="15"/>
      <c r="T18" s="15"/>
      <c r="U18" s="15"/>
      <c r="V18" s="15"/>
      <c r="W18" s="15"/>
      <c r="X18" s="15"/>
      <c r="Y18" s="15"/>
      <c r="Z18" s="15"/>
      <c r="AA18" s="15"/>
      <c r="AB18" s="15"/>
      <c r="AC18" s="15"/>
      <c r="AD18" s="15"/>
      <c r="AE18" s="15"/>
      <c r="AF18" s="15"/>
    </row>
    <row r="19" spans="1:32" s="16" customFormat="1" ht="12.9" customHeight="1">
      <c r="A19" s="90" t="str">
        <f t="shared" ca="1" si="0"/>
        <v>2000</v>
      </c>
      <c r="B19" s="15"/>
      <c r="C19" s="15"/>
      <c r="D19" s="15"/>
      <c r="E19" s="15"/>
      <c r="F19" s="15"/>
      <c r="G19" s="15"/>
      <c r="H19" s="15"/>
      <c r="I19" s="15"/>
      <c r="J19" s="15"/>
      <c r="K19" s="15"/>
      <c r="L19" s="15"/>
      <c r="M19" s="15"/>
      <c r="N19" s="15"/>
      <c r="O19" s="15"/>
      <c r="P19" s="15"/>
      <c r="Q19" s="15"/>
      <c r="R19" s="15"/>
      <c r="S19" s="15"/>
      <c r="T19" s="15"/>
      <c r="U19" s="15"/>
      <c r="V19" s="15"/>
      <c r="W19" s="15"/>
      <c r="X19" s="15"/>
      <c r="Y19" s="15"/>
      <c r="Z19" s="15"/>
      <c r="AA19" s="15"/>
      <c r="AB19" s="15"/>
      <c r="AC19" s="15"/>
      <c r="AD19" s="15"/>
      <c r="AE19" s="15"/>
      <c r="AF19" s="15"/>
    </row>
    <row r="20" spans="1:32" s="16" customFormat="1" ht="12.9" customHeight="1">
      <c r="A20" s="90" t="str">
        <f t="shared" ca="1" si="0"/>
        <v>1999</v>
      </c>
      <c r="B20" s="15"/>
      <c r="C20" s="15"/>
      <c r="D20" s="15"/>
      <c r="E20" s="15"/>
      <c r="F20" s="15"/>
      <c r="G20" s="15"/>
      <c r="H20" s="15"/>
      <c r="I20" s="15"/>
      <c r="J20" s="15"/>
      <c r="K20" s="15"/>
      <c r="L20" s="15"/>
      <c r="M20" s="15"/>
      <c r="N20" s="15"/>
      <c r="O20" s="15"/>
      <c r="P20" s="15"/>
      <c r="Q20" s="15"/>
      <c r="R20" s="15"/>
      <c r="S20" s="15"/>
      <c r="T20" s="15"/>
      <c r="U20" s="15"/>
      <c r="V20" s="15"/>
      <c r="W20" s="15"/>
      <c r="X20" s="15"/>
      <c r="Y20" s="15"/>
      <c r="Z20" s="15"/>
      <c r="AA20" s="15"/>
      <c r="AB20" s="15"/>
      <c r="AC20" s="15"/>
      <c r="AD20" s="15"/>
      <c r="AE20" s="15"/>
      <c r="AF20" s="15"/>
    </row>
    <row r="21" spans="1:32" s="16" customFormat="1" ht="12.9" customHeight="1">
      <c r="A21" s="90" t="str">
        <f t="shared" ca="1" si="0"/>
        <v>1998</v>
      </c>
      <c r="B21" s="15"/>
      <c r="C21" s="15"/>
      <c r="D21" s="15"/>
      <c r="E21" s="15"/>
      <c r="F21" s="15"/>
      <c r="G21" s="15"/>
      <c r="H21" s="15"/>
      <c r="I21" s="15"/>
      <c r="J21" s="15"/>
      <c r="K21" s="15"/>
      <c r="L21" s="15"/>
      <c r="M21" s="15"/>
      <c r="N21" s="15"/>
      <c r="O21" s="15"/>
      <c r="P21" s="15"/>
      <c r="Q21" s="15"/>
      <c r="R21" s="15"/>
      <c r="S21" s="15"/>
      <c r="T21" s="15"/>
      <c r="U21" s="15"/>
      <c r="V21" s="15"/>
      <c r="W21" s="15"/>
      <c r="X21" s="15"/>
      <c r="Y21" s="15"/>
      <c r="Z21" s="15"/>
      <c r="AA21" s="15"/>
      <c r="AB21" s="15"/>
      <c r="AC21" s="15"/>
      <c r="AD21" s="15"/>
      <c r="AE21" s="15"/>
      <c r="AF21" s="15"/>
    </row>
    <row r="22" spans="1:32" s="16" customFormat="1" ht="12.9" customHeight="1">
      <c r="A22" s="90" t="str">
        <f t="shared" ca="1" si="0"/>
        <v>1997</v>
      </c>
      <c r="B22" s="15"/>
      <c r="C22" s="15"/>
      <c r="D22" s="15"/>
      <c r="E22" s="15"/>
      <c r="F22" s="15"/>
      <c r="G22" s="15"/>
      <c r="H22" s="15"/>
      <c r="I22" s="15"/>
      <c r="J22" s="15"/>
      <c r="K22" s="15"/>
      <c r="L22" s="15"/>
      <c r="M22" s="15"/>
      <c r="N22" s="15"/>
      <c r="O22" s="15"/>
      <c r="P22" s="15"/>
      <c r="Q22" s="15"/>
      <c r="R22" s="15"/>
      <c r="S22" s="15"/>
      <c r="T22" s="15"/>
      <c r="U22" s="15"/>
      <c r="V22" s="15"/>
      <c r="W22" s="15"/>
      <c r="X22" s="15"/>
      <c r="Y22" s="15"/>
      <c r="Z22" s="15"/>
      <c r="AA22" s="15"/>
      <c r="AB22" s="15"/>
      <c r="AC22" s="15"/>
      <c r="AD22" s="15"/>
      <c r="AE22" s="15"/>
      <c r="AF22" s="15"/>
    </row>
    <row r="23" spans="1:32" s="16" customFormat="1" ht="12.9" customHeight="1">
      <c r="A23" s="90" t="str">
        <f t="shared" ca="1" si="0"/>
        <v>1996</v>
      </c>
      <c r="B23" s="15"/>
      <c r="C23" s="15"/>
      <c r="D23" s="15"/>
      <c r="E23" s="15"/>
      <c r="F23" s="15"/>
      <c r="G23" s="15"/>
      <c r="H23" s="15"/>
      <c r="I23" s="15"/>
      <c r="J23" s="15"/>
      <c r="K23" s="15"/>
      <c r="L23" s="15"/>
      <c r="M23" s="15"/>
      <c r="N23" s="15"/>
      <c r="O23" s="15"/>
      <c r="P23" s="15"/>
      <c r="Q23" s="15"/>
      <c r="R23" s="15"/>
      <c r="S23" s="15"/>
      <c r="T23" s="15"/>
      <c r="U23" s="15"/>
      <c r="V23" s="15"/>
      <c r="W23" s="15"/>
      <c r="X23" s="15"/>
      <c r="Y23" s="15"/>
      <c r="Z23" s="15"/>
      <c r="AA23" s="15"/>
      <c r="AB23" s="15"/>
      <c r="AC23" s="15"/>
      <c r="AD23" s="15"/>
      <c r="AE23" s="15"/>
      <c r="AF23" s="15"/>
    </row>
    <row r="24" spans="1:32" s="16" customFormat="1" ht="12.9" customHeight="1">
      <c r="A24" s="90" t="str">
        <f t="shared" ca="1" si="0"/>
        <v>1995</v>
      </c>
      <c r="B24" s="15"/>
      <c r="C24" s="15"/>
      <c r="D24" s="15"/>
      <c r="E24" s="15"/>
      <c r="F24" s="15"/>
      <c r="G24" s="15"/>
      <c r="H24" s="15"/>
      <c r="I24" s="15"/>
      <c r="J24" s="15"/>
      <c r="K24" s="15"/>
      <c r="L24" s="15"/>
      <c r="M24" s="15"/>
      <c r="N24" s="15"/>
      <c r="O24" s="15"/>
      <c r="P24" s="15"/>
      <c r="Q24" s="15"/>
      <c r="R24" s="15"/>
      <c r="S24" s="15"/>
      <c r="T24" s="15"/>
      <c r="U24" s="15"/>
      <c r="V24" s="15"/>
      <c r="W24" s="15"/>
      <c r="X24" s="15"/>
      <c r="Y24" s="15"/>
      <c r="Z24" s="15"/>
      <c r="AA24" s="15"/>
      <c r="AB24" s="15"/>
      <c r="AC24" s="15"/>
      <c r="AD24" s="15"/>
      <c r="AE24" s="15"/>
      <c r="AF24" s="15"/>
    </row>
    <row r="25" spans="1:32" s="16" customFormat="1" ht="12.9" customHeight="1">
      <c r="A25" s="90" t="str">
        <f t="shared" ca="1" si="0"/>
        <v>1994</v>
      </c>
      <c r="B25" s="15"/>
      <c r="C25" s="15"/>
      <c r="D25" s="15"/>
      <c r="E25" s="15"/>
      <c r="F25" s="15"/>
      <c r="G25" s="15"/>
      <c r="H25" s="15"/>
      <c r="I25" s="15"/>
      <c r="J25" s="15"/>
      <c r="K25" s="15"/>
      <c r="L25" s="15"/>
      <c r="M25" s="15"/>
      <c r="N25" s="15"/>
      <c r="O25" s="15"/>
      <c r="P25" s="15"/>
      <c r="Q25" s="15"/>
      <c r="R25" s="15"/>
      <c r="S25" s="15"/>
      <c r="T25" s="15"/>
      <c r="U25" s="15"/>
      <c r="V25" s="15"/>
      <c r="W25" s="15"/>
      <c r="X25" s="15"/>
      <c r="Y25" s="15"/>
      <c r="Z25" s="15"/>
      <c r="AA25" s="15"/>
      <c r="AB25" s="15"/>
      <c r="AC25" s="15"/>
      <c r="AD25" s="15"/>
      <c r="AE25" s="15"/>
      <c r="AF25" s="15"/>
    </row>
    <row r="26" spans="1:32" s="16" customFormat="1" ht="12.9" customHeight="1">
      <c r="A26" s="90" t="str">
        <f t="shared" ca="1" si="0"/>
        <v>1993</v>
      </c>
      <c r="B26" s="15"/>
      <c r="C26" s="15"/>
      <c r="D26" s="15"/>
      <c r="E26" s="15"/>
      <c r="F26" s="15"/>
      <c r="G26" s="15"/>
      <c r="H26" s="15"/>
      <c r="I26" s="15"/>
      <c r="J26" s="15"/>
      <c r="K26" s="15"/>
      <c r="L26" s="15"/>
      <c r="M26" s="15"/>
      <c r="N26" s="15"/>
      <c r="O26" s="15"/>
      <c r="P26" s="15"/>
      <c r="Q26" s="15"/>
      <c r="R26" s="15"/>
      <c r="S26" s="15"/>
      <c r="T26" s="15"/>
      <c r="U26" s="15"/>
      <c r="V26" s="15"/>
      <c r="W26" s="15"/>
      <c r="X26" s="15"/>
      <c r="Y26" s="15"/>
      <c r="Z26" s="15"/>
      <c r="AA26" s="15"/>
      <c r="AB26" s="15"/>
      <c r="AC26" s="15"/>
      <c r="AD26" s="15"/>
      <c r="AE26" s="15"/>
      <c r="AF26" s="15"/>
    </row>
    <row r="27" spans="1:32" s="16" customFormat="1" ht="12.9" customHeight="1">
      <c r="A27" s="90" t="str">
        <f t="shared" ca="1" si="0"/>
        <v>1992</v>
      </c>
      <c r="B27" s="15"/>
      <c r="C27" s="15"/>
      <c r="D27" s="15"/>
      <c r="E27" s="15"/>
      <c r="F27" s="15"/>
      <c r="G27" s="15"/>
      <c r="H27" s="15"/>
      <c r="I27" s="15"/>
      <c r="J27" s="15"/>
      <c r="K27" s="15"/>
      <c r="L27" s="15"/>
      <c r="M27" s="15"/>
      <c r="N27" s="15"/>
      <c r="O27" s="15"/>
      <c r="P27" s="15"/>
      <c r="Q27" s="15"/>
      <c r="R27" s="15"/>
      <c r="S27" s="15"/>
      <c r="T27" s="15"/>
      <c r="U27" s="15"/>
      <c r="V27" s="15"/>
      <c r="W27" s="15"/>
      <c r="X27" s="15"/>
      <c r="Y27" s="15"/>
      <c r="Z27" s="15"/>
      <c r="AA27" s="15"/>
      <c r="AB27" s="15"/>
      <c r="AC27" s="15"/>
      <c r="AD27" s="15"/>
      <c r="AE27" s="15"/>
      <c r="AF27" s="15"/>
    </row>
    <row r="28" spans="1:32" s="16" customFormat="1" ht="12.9" customHeight="1">
      <c r="A28" s="90" t="str">
        <f t="shared" ca="1" si="0"/>
        <v>1991</v>
      </c>
      <c r="B28" s="15"/>
      <c r="C28" s="15"/>
      <c r="D28" s="15"/>
      <c r="E28" s="15"/>
      <c r="F28" s="15"/>
      <c r="G28" s="15"/>
      <c r="H28" s="15"/>
      <c r="I28" s="15"/>
      <c r="J28" s="15"/>
      <c r="K28" s="15"/>
      <c r="L28" s="15"/>
      <c r="M28" s="15"/>
      <c r="N28" s="15"/>
      <c r="O28" s="15"/>
      <c r="P28" s="15"/>
      <c r="Q28" s="15"/>
      <c r="R28" s="15"/>
      <c r="S28" s="15"/>
      <c r="T28" s="15"/>
      <c r="U28" s="15"/>
      <c r="V28" s="15"/>
      <c r="W28" s="15"/>
      <c r="X28" s="15"/>
      <c r="Y28" s="15"/>
      <c r="Z28" s="15"/>
      <c r="AA28" s="15"/>
      <c r="AB28" s="15"/>
      <c r="AC28" s="15"/>
      <c r="AD28" s="15"/>
      <c r="AE28" s="15"/>
      <c r="AF28" s="15"/>
    </row>
    <row r="29" spans="1:32" s="16" customFormat="1" ht="12.9" customHeight="1">
      <c r="A29" s="90" t="str">
        <f t="shared" ca="1" si="0"/>
        <v>1990</v>
      </c>
      <c r="B29" s="15"/>
      <c r="C29" s="15"/>
      <c r="D29" s="15"/>
      <c r="E29" s="15"/>
      <c r="F29" s="15"/>
      <c r="G29" s="15"/>
      <c r="H29" s="15"/>
      <c r="I29" s="15"/>
      <c r="J29" s="15"/>
      <c r="K29" s="15"/>
      <c r="L29" s="15"/>
      <c r="M29" s="15"/>
      <c r="N29" s="15"/>
      <c r="O29" s="15"/>
      <c r="P29" s="15"/>
      <c r="Q29" s="15"/>
      <c r="R29" s="15"/>
      <c r="S29" s="15"/>
      <c r="T29" s="15"/>
      <c r="U29" s="15"/>
      <c r="V29" s="15"/>
      <c r="W29" s="15"/>
      <c r="X29" s="15"/>
      <c r="Y29" s="15"/>
      <c r="Z29" s="15"/>
      <c r="AA29" s="15"/>
      <c r="AB29" s="15"/>
      <c r="AC29" s="15"/>
      <c r="AD29" s="15"/>
      <c r="AE29" s="15"/>
      <c r="AF29" s="15"/>
    </row>
    <row r="30" spans="1:32" s="16" customFormat="1" ht="12.9" customHeight="1">
      <c r="A30" s="90" t="str">
        <f t="shared" ca="1" si="0"/>
        <v>1989</v>
      </c>
      <c r="B30" s="15"/>
      <c r="C30" s="15"/>
      <c r="D30" s="15"/>
      <c r="E30" s="15"/>
      <c r="F30" s="15"/>
      <c r="G30" s="15"/>
      <c r="H30" s="15"/>
      <c r="I30" s="15"/>
      <c r="J30" s="15"/>
      <c r="K30" s="15"/>
      <c r="L30" s="15"/>
      <c r="M30" s="15"/>
      <c r="N30" s="15"/>
      <c r="O30" s="15"/>
      <c r="P30" s="15"/>
      <c r="Q30" s="15"/>
      <c r="R30" s="15"/>
      <c r="S30" s="15"/>
      <c r="T30" s="15"/>
      <c r="U30" s="15"/>
      <c r="V30" s="15"/>
      <c r="W30" s="15"/>
      <c r="X30" s="15"/>
      <c r="Y30" s="15"/>
      <c r="Z30" s="15"/>
      <c r="AA30" s="15"/>
      <c r="AB30" s="15"/>
      <c r="AC30" s="15"/>
      <c r="AD30" s="15"/>
      <c r="AE30" s="15"/>
      <c r="AF30" s="15"/>
    </row>
    <row r="31" spans="1:32" s="16" customFormat="1" ht="12.9" customHeight="1">
      <c r="A31" s="90" t="str">
        <f t="shared" ca="1" si="0"/>
        <v>1988</v>
      </c>
      <c r="B31" s="15"/>
      <c r="C31" s="15"/>
      <c r="D31" s="15"/>
      <c r="E31" s="15"/>
      <c r="F31" s="15"/>
      <c r="G31" s="15"/>
      <c r="H31" s="15"/>
      <c r="I31" s="15"/>
      <c r="J31" s="15"/>
      <c r="K31" s="15"/>
      <c r="L31" s="15"/>
      <c r="M31" s="15"/>
      <c r="N31" s="15"/>
      <c r="O31" s="15"/>
      <c r="P31" s="15"/>
      <c r="Q31" s="15"/>
      <c r="R31" s="15"/>
      <c r="S31" s="15"/>
      <c r="T31" s="15"/>
      <c r="U31" s="15"/>
      <c r="V31" s="15"/>
      <c r="W31" s="15"/>
      <c r="X31" s="15"/>
      <c r="Y31" s="15"/>
      <c r="Z31" s="15"/>
      <c r="AA31" s="15"/>
      <c r="AB31" s="15"/>
      <c r="AC31" s="15"/>
      <c r="AD31" s="15"/>
      <c r="AE31" s="15"/>
      <c r="AF31" s="15"/>
    </row>
    <row r="32" spans="1:32" s="16" customFormat="1" ht="12.9" customHeight="1">
      <c r="A32" s="90" t="str">
        <f t="shared" ca="1" si="0"/>
        <v>1987</v>
      </c>
      <c r="B32" s="15"/>
      <c r="C32" s="15"/>
      <c r="D32" s="15"/>
      <c r="E32" s="15"/>
      <c r="F32" s="15"/>
      <c r="G32" s="15"/>
      <c r="H32" s="15"/>
      <c r="I32" s="15"/>
      <c r="J32" s="15"/>
      <c r="K32" s="15"/>
      <c r="L32" s="15"/>
      <c r="M32" s="15"/>
      <c r="N32" s="15"/>
      <c r="O32" s="15"/>
      <c r="P32" s="15"/>
      <c r="Q32" s="15"/>
      <c r="R32" s="15"/>
      <c r="S32" s="15"/>
      <c r="T32" s="15"/>
      <c r="U32" s="15"/>
      <c r="V32" s="15"/>
      <c r="W32" s="15"/>
      <c r="X32" s="15"/>
      <c r="Y32" s="15"/>
      <c r="Z32" s="15"/>
      <c r="AA32" s="15"/>
      <c r="AB32" s="15"/>
      <c r="AC32" s="15"/>
      <c r="AD32" s="15"/>
      <c r="AE32" s="15"/>
      <c r="AF32" s="15"/>
    </row>
    <row r="33" spans="1:32" s="16" customFormat="1" ht="12.9" customHeight="1">
      <c r="A33" s="90" t="str">
        <f t="shared" ca="1" si="0"/>
        <v>1986</v>
      </c>
      <c r="B33" s="15"/>
      <c r="C33" s="15"/>
      <c r="D33" s="15"/>
      <c r="E33" s="15"/>
      <c r="F33" s="15"/>
      <c r="G33" s="15"/>
      <c r="H33" s="15"/>
      <c r="I33" s="15"/>
      <c r="J33" s="15"/>
      <c r="K33" s="15"/>
      <c r="L33" s="15"/>
      <c r="M33" s="15"/>
      <c r="N33" s="15"/>
      <c r="O33" s="15"/>
      <c r="P33" s="15"/>
      <c r="Q33" s="15"/>
      <c r="R33" s="15"/>
      <c r="S33" s="15"/>
      <c r="T33" s="15"/>
      <c r="U33" s="15"/>
      <c r="V33" s="15"/>
      <c r="W33" s="15"/>
      <c r="X33" s="15"/>
      <c r="Y33" s="15"/>
      <c r="Z33" s="15"/>
      <c r="AA33" s="15"/>
      <c r="AB33" s="15"/>
      <c r="AC33" s="15"/>
      <c r="AD33" s="15"/>
      <c r="AE33" s="15"/>
      <c r="AF33" s="15"/>
    </row>
    <row r="34" spans="1:32" s="16" customFormat="1" ht="12.9" customHeight="1">
      <c r="A34" s="90" t="str">
        <f t="shared" ca="1" si="0"/>
        <v>1985</v>
      </c>
      <c r="B34" s="15"/>
      <c r="C34" s="15"/>
      <c r="D34" s="15"/>
      <c r="E34" s="15"/>
      <c r="F34" s="15"/>
      <c r="G34" s="15"/>
      <c r="H34" s="15"/>
      <c r="I34" s="15"/>
      <c r="J34" s="15"/>
      <c r="K34" s="15"/>
      <c r="L34" s="15"/>
      <c r="M34" s="15"/>
      <c r="N34" s="15"/>
      <c r="O34" s="15"/>
      <c r="P34" s="15"/>
      <c r="Q34" s="15"/>
      <c r="R34" s="15"/>
      <c r="S34" s="15"/>
      <c r="T34" s="15"/>
      <c r="U34" s="15"/>
      <c r="V34" s="15"/>
      <c r="W34" s="15"/>
      <c r="X34" s="15"/>
      <c r="Y34" s="15"/>
      <c r="Z34" s="15"/>
      <c r="AA34" s="15"/>
      <c r="AB34" s="15"/>
      <c r="AC34" s="15"/>
      <c r="AD34" s="15"/>
      <c r="AE34" s="15"/>
      <c r="AF34" s="15"/>
    </row>
    <row r="35" spans="1:32" s="16" customFormat="1" ht="12.9" customHeight="1">
      <c r="A35" s="90" t="str">
        <f t="shared" ca="1" si="0"/>
        <v>1984</v>
      </c>
      <c r="B35" s="15"/>
      <c r="C35" s="15"/>
      <c r="D35" s="15"/>
      <c r="E35" s="15"/>
      <c r="F35" s="15"/>
      <c r="G35" s="15"/>
      <c r="H35" s="15"/>
      <c r="I35" s="15"/>
      <c r="J35" s="15"/>
      <c r="K35" s="15"/>
      <c r="L35" s="15"/>
      <c r="M35" s="15"/>
      <c r="N35" s="15"/>
      <c r="O35" s="15"/>
      <c r="P35" s="15"/>
      <c r="Q35" s="15"/>
      <c r="R35" s="15"/>
      <c r="S35" s="15"/>
      <c r="T35" s="15"/>
      <c r="U35" s="15"/>
      <c r="V35" s="15"/>
      <c r="W35" s="15"/>
      <c r="X35" s="15"/>
      <c r="Y35" s="15"/>
      <c r="Z35" s="15"/>
      <c r="AA35" s="15"/>
      <c r="AB35" s="15"/>
      <c r="AC35" s="15"/>
      <c r="AD35" s="15"/>
      <c r="AE35" s="15"/>
      <c r="AF35" s="15"/>
    </row>
    <row r="36" spans="1:32" s="16" customFormat="1" ht="12.9" customHeight="1">
      <c r="A36" s="90" t="str">
        <f t="shared" ca="1" si="0"/>
        <v>1983</v>
      </c>
      <c r="B36" s="15"/>
      <c r="C36" s="15"/>
      <c r="D36" s="15"/>
      <c r="E36" s="15"/>
      <c r="F36" s="15"/>
      <c r="G36" s="15"/>
      <c r="H36" s="15"/>
      <c r="I36" s="15"/>
      <c r="J36" s="15"/>
      <c r="K36" s="15"/>
      <c r="L36" s="15"/>
      <c r="M36" s="15"/>
      <c r="N36" s="15"/>
      <c r="O36" s="15"/>
      <c r="P36" s="15"/>
      <c r="Q36" s="15"/>
      <c r="R36" s="15"/>
      <c r="S36" s="15"/>
      <c r="T36" s="15"/>
      <c r="U36" s="15"/>
      <c r="V36" s="15"/>
      <c r="W36" s="15"/>
      <c r="X36" s="15"/>
      <c r="Y36" s="15"/>
      <c r="Z36" s="15"/>
      <c r="AA36" s="15"/>
      <c r="AB36" s="15"/>
      <c r="AC36" s="15"/>
      <c r="AD36" s="15"/>
      <c r="AE36" s="15"/>
      <c r="AF36" s="15"/>
    </row>
    <row r="37" spans="1:32" s="16" customFormat="1" ht="12.9" customHeight="1">
      <c r="A37" s="90" t="str">
        <f t="shared" ca="1" si="0"/>
        <v>1982</v>
      </c>
      <c r="B37" s="15"/>
      <c r="C37" s="15"/>
      <c r="D37" s="15"/>
      <c r="E37" s="15"/>
      <c r="F37" s="15"/>
      <c r="G37" s="15"/>
      <c r="H37" s="15"/>
      <c r="I37" s="15"/>
      <c r="J37" s="15"/>
      <c r="K37" s="15"/>
      <c r="L37" s="15"/>
      <c r="M37" s="15"/>
      <c r="N37" s="15"/>
      <c r="O37" s="15"/>
      <c r="P37" s="15"/>
      <c r="Q37" s="15"/>
      <c r="R37" s="15"/>
      <c r="S37" s="15"/>
      <c r="T37" s="15"/>
      <c r="U37" s="15"/>
      <c r="V37" s="15"/>
      <c r="W37" s="15"/>
      <c r="X37" s="15"/>
      <c r="Y37" s="15"/>
      <c r="Z37" s="15"/>
      <c r="AA37" s="15"/>
      <c r="AB37" s="15"/>
      <c r="AC37" s="15"/>
      <c r="AD37" s="15"/>
      <c r="AE37" s="15"/>
      <c r="AF37" s="15"/>
    </row>
    <row r="38" spans="1:32" s="16" customFormat="1" ht="12.9" customHeight="1">
      <c r="A38" s="90" t="str">
        <f t="shared" ca="1" si="0"/>
        <v>1981</v>
      </c>
      <c r="B38" s="15"/>
      <c r="C38" s="15"/>
      <c r="D38" s="15"/>
      <c r="E38" s="15"/>
      <c r="F38" s="15"/>
      <c r="G38" s="15"/>
      <c r="H38" s="15"/>
      <c r="I38" s="15"/>
      <c r="J38" s="15"/>
      <c r="K38" s="15"/>
      <c r="L38" s="15"/>
      <c r="M38" s="15"/>
      <c r="N38" s="15"/>
      <c r="O38" s="15"/>
      <c r="P38" s="15"/>
      <c r="Q38" s="15"/>
      <c r="R38" s="15"/>
      <c r="S38" s="15"/>
      <c r="T38" s="15"/>
      <c r="U38" s="15"/>
      <c r="V38" s="15"/>
      <c r="W38" s="15"/>
      <c r="X38" s="15"/>
      <c r="Y38" s="15"/>
      <c r="Z38" s="15"/>
      <c r="AA38" s="15"/>
      <c r="AB38" s="15"/>
      <c r="AC38" s="15"/>
      <c r="AD38" s="15"/>
      <c r="AE38" s="15"/>
      <c r="AF38" s="15"/>
    </row>
    <row r="39" spans="1:32" s="16" customFormat="1" ht="12.9" customHeight="1">
      <c r="A39" s="90" t="str">
        <f t="shared" ca="1" si="0"/>
        <v>1980</v>
      </c>
      <c r="B39" s="15"/>
      <c r="C39" s="15"/>
      <c r="D39" s="15"/>
      <c r="E39" s="15"/>
      <c r="F39" s="15"/>
      <c r="G39" s="15"/>
      <c r="H39" s="15"/>
      <c r="I39" s="15"/>
      <c r="J39" s="15"/>
      <c r="K39" s="15"/>
      <c r="L39" s="15"/>
      <c r="M39" s="15"/>
      <c r="N39" s="15"/>
      <c r="O39" s="15"/>
      <c r="P39" s="15"/>
      <c r="Q39" s="15"/>
      <c r="R39" s="15"/>
      <c r="S39" s="15"/>
      <c r="T39" s="15"/>
      <c r="U39" s="15"/>
      <c r="V39" s="15"/>
      <c r="W39" s="15"/>
      <c r="X39" s="15"/>
      <c r="Y39" s="15"/>
      <c r="Z39" s="15"/>
      <c r="AA39" s="15"/>
      <c r="AB39" s="15"/>
      <c r="AC39" s="15"/>
      <c r="AD39" s="15"/>
      <c r="AE39" s="15"/>
      <c r="AF39" s="15"/>
    </row>
    <row r="40" spans="1:32" s="16" customFormat="1" ht="12.9" customHeight="1">
      <c r="A40" s="90" t="str">
        <f t="shared" ca="1" si="0"/>
        <v>1979</v>
      </c>
      <c r="B40" s="15"/>
      <c r="C40" s="15"/>
      <c r="D40" s="15"/>
      <c r="E40" s="15"/>
      <c r="F40" s="15"/>
      <c r="G40" s="15"/>
      <c r="H40" s="15"/>
      <c r="I40" s="15"/>
      <c r="J40" s="15"/>
      <c r="K40" s="15"/>
      <c r="L40" s="15"/>
      <c r="M40" s="15"/>
      <c r="N40" s="15"/>
      <c r="O40" s="15"/>
      <c r="P40" s="15"/>
      <c r="Q40" s="15"/>
      <c r="R40" s="15"/>
      <c r="S40" s="15"/>
      <c r="T40" s="15"/>
      <c r="U40" s="15"/>
      <c r="V40" s="15"/>
      <c r="W40" s="15"/>
      <c r="X40" s="15"/>
      <c r="Y40" s="15"/>
      <c r="Z40" s="15"/>
      <c r="AA40" s="15"/>
      <c r="AB40" s="15"/>
      <c r="AC40" s="15"/>
      <c r="AD40" s="15"/>
      <c r="AE40" s="15"/>
      <c r="AF40" s="15"/>
    </row>
    <row r="41" spans="1:32" s="16" customFormat="1" ht="12.9" customHeight="1">
      <c r="A41" s="90" t="str">
        <f t="shared" ca="1" si="0"/>
        <v>1978</v>
      </c>
      <c r="B41" s="15"/>
      <c r="C41" s="15"/>
      <c r="D41" s="15"/>
      <c r="E41" s="15"/>
      <c r="F41" s="15"/>
      <c r="G41" s="15"/>
      <c r="H41" s="15"/>
      <c r="I41" s="15"/>
      <c r="J41" s="15"/>
      <c r="K41" s="15"/>
      <c r="L41" s="15"/>
      <c r="M41" s="15"/>
      <c r="N41" s="15"/>
      <c r="O41" s="15"/>
      <c r="P41" s="15"/>
      <c r="Q41" s="15"/>
      <c r="R41" s="15"/>
      <c r="S41" s="15"/>
      <c r="T41" s="15"/>
      <c r="U41" s="15"/>
      <c r="V41" s="15"/>
      <c r="W41" s="15"/>
      <c r="X41" s="15"/>
      <c r="Y41" s="15"/>
      <c r="Z41" s="15"/>
      <c r="AA41" s="15"/>
      <c r="AB41" s="15"/>
      <c r="AC41" s="15"/>
      <c r="AD41" s="15"/>
      <c r="AE41" s="15"/>
      <c r="AF41" s="15"/>
    </row>
    <row r="42" spans="1:32" s="16" customFormat="1" ht="12.9" customHeight="1">
      <c r="A42" s="90" t="str">
        <f t="shared" ca="1" si="0"/>
        <v>1977</v>
      </c>
      <c r="B42" s="15"/>
      <c r="C42" s="15"/>
      <c r="D42" s="15"/>
      <c r="E42" s="15"/>
      <c r="F42" s="15"/>
      <c r="G42" s="15"/>
      <c r="H42" s="15"/>
      <c r="I42" s="15"/>
      <c r="J42" s="15"/>
      <c r="K42" s="15"/>
      <c r="L42" s="15"/>
      <c r="M42" s="15"/>
      <c r="N42" s="15"/>
      <c r="O42" s="15"/>
      <c r="P42" s="15"/>
      <c r="Q42" s="15"/>
      <c r="R42" s="15"/>
      <c r="S42" s="15"/>
      <c r="T42" s="15"/>
      <c r="U42" s="15"/>
      <c r="V42" s="15"/>
      <c r="W42" s="15"/>
      <c r="X42" s="15"/>
      <c r="Y42" s="15"/>
      <c r="Z42" s="15"/>
      <c r="AA42" s="15"/>
      <c r="AB42" s="15"/>
      <c r="AC42" s="15"/>
      <c r="AD42" s="15"/>
      <c r="AE42" s="15"/>
      <c r="AF42" s="15"/>
    </row>
    <row r="43" spans="1:32" s="16" customFormat="1" ht="12.9" customHeight="1">
      <c r="A43" s="90" t="str">
        <f t="shared" ca="1" si="0"/>
        <v>1976</v>
      </c>
      <c r="B43" s="15"/>
      <c r="C43" s="15"/>
      <c r="D43" s="15"/>
      <c r="E43" s="15"/>
      <c r="F43" s="15"/>
      <c r="G43" s="15"/>
      <c r="H43" s="15"/>
      <c r="I43" s="15"/>
      <c r="J43" s="15"/>
      <c r="K43" s="15"/>
      <c r="L43" s="15"/>
      <c r="M43" s="15"/>
      <c r="N43" s="15"/>
      <c r="O43" s="15"/>
      <c r="P43" s="15"/>
      <c r="Q43" s="15"/>
      <c r="R43" s="15"/>
      <c r="S43" s="15"/>
      <c r="T43" s="15"/>
      <c r="U43" s="15"/>
      <c r="V43" s="15"/>
      <c r="W43" s="15"/>
      <c r="X43" s="15"/>
      <c r="Y43" s="15"/>
      <c r="Z43" s="15"/>
      <c r="AA43" s="15"/>
      <c r="AB43" s="15"/>
      <c r="AC43" s="15"/>
      <c r="AD43" s="15"/>
      <c r="AE43" s="15"/>
      <c r="AF43" s="15"/>
    </row>
    <row r="44" spans="1:32" s="16" customFormat="1" ht="12.9" customHeight="1">
      <c r="A44" s="90" t="str">
        <f t="shared" ca="1" si="0"/>
        <v>1975</v>
      </c>
      <c r="B44" s="15"/>
      <c r="C44" s="15"/>
      <c r="D44" s="15"/>
      <c r="E44" s="15"/>
      <c r="F44" s="15"/>
      <c r="G44" s="15"/>
      <c r="H44" s="15"/>
      <c r="I44" s="15"/>
      <c r="J44" s="15"/>
      <c r="K44" s="15"/>
      <c r="L44" s="15"/>
      <c r="M44" s="15"/>
      <c r="N44" s="15"/>
      <c r="O44" s="15"/>
      <c r="P44" s="15"/>
      <c r="Q44" s="15"/>
      <c r="R44" s="15"/>
      <c r="S44" s="15"/>
      <c r="T44" s="15"/>
      <c r="U44" s="15"/>
      <c r="V44" s="15"/>
      <c r="W44" s="15"/>
      <c r="X44" s="15"/>
      <c r="Y44" s="15"/>
      <c r="Z44" s="15"/>
      <c r="AA44" s="15"/>
      <c r="AB44" s="15"/>
      <c r="AC44" s="15"/>
      <c r="AD44" s="15"/>
      <c r="AE44" s="15"/>
      <c r="AF44" s="15"/>
    </row>
    <row r="45" spans="1:32" s="16" customFormat="1" ht="12.9" customHeight="1">
      <c r="A45" s="90" t="str">
        <f t="shared" ca="1" si="0"/>
        <v>1974</v>
      </c>
      <c r="B45" s="15"/>
      <c r="C45" s="15"/>
      <c r="D45" s="15"/>
      <c r="E45" s="15"/>
      <c r="F45" s="15"/>
      <c r="G45" s="15"/>
      <c r="H45" s="15"/>
      <c r="I45" s="15"/>
      <c r="J45" s="15"/>
      <c r="K45" s="15"/>
      <c r="L45" s="15"/>
      <c r="M45" s="15"/>
      <c r="N45" s="15"/>
      <c r="O45" s="15"/>
      <c r="P45" s="15"/>
      <c r="Q45" s="15"/>
      <c r="R45" s="15"/>
      <c r="S45" s="15"/>
      <c r="T45" s="15"/>
      <c r="U45" s="15"/>
      <c r="V45" s="15"/>
      <c r="W45" s="15"/>
      <c r="X45" s="15"/>
      <c r="Y45" s="15"/>
      <c r="Z45" s="15"/>
      <c r="AA45" s="15"/>
      <c r="AB45" s="15"/>
      <c r="AC45" s="15"/>
      <c r="AD45" s="15"/>
      <c r="AE45" s="15"/>
      <c r="AF45" s="15"/>
    </row>
    <row r="46" spans="1:32" s="16" customFormat="1" ht="12.9" customHeight="1">
      <c r="A46" s="90" t="str">
        <f t="shared" ca="1" si="0"/>
        <v>1973</v>
      </c>
      <c r="B46" s="15"/>
      <c r="C46" s="15"/>
      <c r="D46" s="15"/>
      <c r="E46" s="15"/>
      <c r="F46" s="15"/>
      <c r="G46" s="15"/>
      <c r="H46" s="15"/>
      <c r="I46" s="15"/>
      <c r="J46" s="15"/>
      <c r="K46" s="15"/>
      <c r="L46" s="15"/>
      <c r="M46" s="15"/>
      <c r="N46" s="15"/>
      <c r="O46" s="15"/>
      <c r="P46" s="15"/>
      <c r="Q46" s="15"/>
      <c r="R46" s="15"/>
      <c r="S46" s="15"/>
      <c r="T46" s="15"/>
      <c r="U46" s="15"/>
      <c r="V46" s="15"/>
      <c r="W46" s="15"/>
      <c r="X46" s="15"/>
      <c r="Y46" s="15"/>
      <c r="Z46" s="15"/>
      <c r="AA46" s="15"/>
      <c r="AB46" s="15"/>
      <c r="AC46" s="15"/>
      <c r="AD46" s="15"/>
      <c r="AE46" s="15"/>
      <c r="AF46" s="15"/>
    </row>
    <row r="47" spans="1:32" s="16" customFormat="1" ht="12.9" customHeight="1">
      <c r="A47" s="90" t="str">
        <f t="shared" ca="1" si="0"/>
        <v>1972</v>
      </c>
      <c r="B47" s="15"/>
      <c r="C47" s="15"/>
      <c r="D47" s="15"/>
      <c r="E47" s="15"/>
      <c r="F47" s="15"/>
      <c r="G47" s="15"/>
      <c r="H47" s="15"/>
      <c r="I47" s="15"/>
      <c r="J47" s="15"/>
      <c r="K47" s="15"/>
      <c r="L47" s="15"/>
      <c r="M47" s="15"/>
      <c r="N47" s="15"/>
      <c r="O47" s="15"/>
      <c r="P47" s="15"/>
      <c r="Q47" s="15"/>
      <c r="R47" s="15"/>
      <c r="S47" s="15"/>
      <c r="T47" s="15"/>
      <c r="U47" s="15"/>
      <c r="V47" s="15"/>
      <c r="W47" s="15"/>
      <c r="X47" s="15"/>
      <c r="Y47" s="15"/>
      <c r="Z47" s="15"/>
      <c r="AA47" s="15"/>
      <c r="AB47" s="15"/>
      <c r="AC47" s="15"/>
      <c r="AD47" s="15"/>
      <c r="AE47" s="15"/>
      <c r="AF47" s="15"/>
    </row>
    <row r="48" spans="1:32" s="16" customFormat="1" ht="12.9" customHeight="1">
      <c r="A48" s="90" t="str">
        <f t="shared" ca="1" si="0"/>
        <v>1971</v>
      </c>
      <c r="B48" s="15"/>
      <c r="C48" s="15"/>
      <c r="D48" s="15"/>
      <c r="E48" s="15"/>
      <c r="F48" s="15"/>
      <c r="G48" s="15"/>
      <c r="H48" s="15"/>
      <c r="I48" s="15"/>
      <c r="J48" s="15"/>
      <c r="K48" s="15"/>
      <c r="L48" s="15"/>
      <c r="M48" s="15"/>
      <c r="N48" s="15"/>
      <c r="O48" s="15"/>
      <c r="P48" s="15"/>
      <c r="Q48" s="15"/>
      <c r="R48" s="15"/>
      <c r="S48" s="15"/>
      <c r="T48" s="15"/>
      <c r="U48" s="15"/>
      <c r="V48" s="15"/>
      <c r="W48" s="15"/>
      <c r="X48" s="15"/>
      <c r="Y48" s="15"/>
      <c r="Z48" s="15"/>
      <c r="AA48" s="15"/>
      <c r="AB48" s="15"/>
      <c r="AC48" s="15"/>
      <c r="AD48" s="15"/>
      <c r="AE48" s="15"/>
      <c r="AF48" s="15"/>
    </row>
    <row r="49" spans="1:32" s="16" customFormat="1" ht="12.9" customHeight="1">
      <c r="A49" s="90" t="str">
        <f t="shared" ca="1" si="0"/>
        <v>1970</v>
      </c>
      <c r="B49" s="15"/>
      <c r="C49" s="15"/>
      <c r="D49" s="15"/>
      <c r="E49" s="15"/>
      <c r="F49" s="15"/>
      <c r="G49" s="15"/>
      <c r="H49" s="15"/>
      <c r="I49" s="15"/>
      <c r="J49" s="15"/>
      <c r="K49" s="15"/>
      <c r="L49" s="15"/>
      <c r="M49" s="15"/>
      <c r="N49" s="15"/>
      <c r="O49" s="15"/>
      <c r="P49" s="15"/>
      <c r="Q49" s="15"/>
      <c r="R49" s="15"/>
      <c r="S49" s="15"/>
      <c r="T49" s="15"/>
      <c r="U49" s="15"/>
      <c r="V49" s="15"/>
      <c r="W49" s="15"/>
      <c r="X49" s="15"/>
      <c r="Y49" s="15"/>
      <c r="Z49" s="15"/>
      <c r="AA49" s="15"/>
      <c r="AB49" s="15"/>
      <c r="AC49" s="15"/>
      <c r="AD49" s="15"/>
      <c r="AE49" s="15"/>
      <c r="AF49" s="15"/>
    </row>
    <row r="50" spans="1:32" s="16" customFormat="1" ht="12.9" customHeight="1">
      <c r="A50" s="90" t="str">
        <f t="shared" ca="1" si="0"/>
        <v>1969</v>
      </c>
      <c r="B50" s="15"/>
      <c r="C50" s="15"/>
      <c r="D50" s="15"/>
      <c r="E50" s="15"/>
      <c r="F50" s="15"/>
      <c r="G50" s="15"/>
      <c r="H50" s="15"/>
      <c r="I50" s="15"/>
      <c r="J50" s="15"/>
      <c r="K50" s="15"/>
      <c r="L50" s="15"/>
      <c r="M50" s="15"/>
      <c r="N50" s="15"/>
      <c r="O50" s="15"/>
      <c r="P50" s="15"/>
      <c r="Q50" s="15"/>
      <c r="R50" s="15"/>
      <c r="S50" s="15"/>
      <c r="T50" s="15"/>
      <c r="U50" s="15"/>
      <c r="V50" s="15"/>
      <c r="W50" s="15"/>
      <c r="X50" s="15"/>
      <c r="Y50" s="15"/>
      <c r="Z50" s="15"/>
      <c r="AA50" s="15"/>
      <c r="AB50" s="15"/>
      <c r="AC50" s="15"/>
      <c r="AD50" s="15"/>
      <c r="AE50" s="15"/>
      <c r="AF50" s="15"/>
    </row>
    <row r="51" spans="1:32" s="16" customFormat="1" ht="12.9" customHeight="1">
      <c r="A51" s="90" t="str">
        <f t="shared" ca="1" si="0"/>
        <v>1968</v>
      </c>
      <c r="B51" s="15"/>
      <c r="C51" s="15"/>
      <c r="D51" s="15"/>
      <c r="E51" s="15"/>
      <c r="F51" s="15"/>
      <c r="G51" s="15"/>
      <c r="H51" s="15"/>
      <c r="I51" s="15"/>
      <c r="J51" s="15"/>
      <c r="K51" s="15"/>
      <c r="L51" s="15"/>
      <c r="M51" s="15"/>
      <c r="N51" s="15"/>
      <c r="O51" s="15"/>
      <c r="P51" s="15"/>
      <c r="Q51" s="15"/>
      <c r="R51" s="15"/>
      <c r="S51" s="15"/>
      <c r="T51" s="15"/>
      <c r="U51" s="15"/>
      <c r="V51" s="15"/>
      <c r="W51" s="15"/>
      <c r="X51" s="15"/>
      <c r="Y51" s="15"/>
      <c r="Z51" s="15"/>
      <c r="AA51" s="15"/>
      <c r="AB51" s="15"/>
      <c r="AC51" s="15"/>
      <c r="AD51" s="15"/>
      <c r="AE51" s="15"/>
      <c r="AF51" s="15"/>
    </row>
    <row r="52" spans="1:32" s="16" customFormat="1" ht="12.9" customHeight="1">
      <c r="A52" s="90" t="str">
        <f t="shared" ca="1" si="0"/>
        <v>1967</v>
      </c>
      <c r="B52" s="15"/>
      <c r="C52" s="15"/>
      <c r="D52" s="15"/>
      <c r="E52" s="15"/>
      <c r="F52" s="15"/>
      <c r="G52" s="15"/>
      <c r="H52" s="15"/>
      <c r="I52" s="15"/>
      <c r="J52" s="15"/>
      <c r="K52" s="15"/>
      <c r="L52" s="15"/>
      <c r="M52" s="15"/>
      <c r="N52" s="15"/>
      <c r="O52" s="15"/>
      <c r="P52" s="15"/>
      <c r="Q52" s="15"/>
      <c r="R52" s="15"/>
      <c r="S52" s="15"/>
      <c r="T52" s="15"/>
      <c r="U52" s="15"/>
      <c r="V52" s="15"/>
      <c r="W52" s="15"/>
      <c r="X52" s="15"/>
      <c r="Y52" s="15"/>
      <c r="Z52" s="15"/>
      <c r="AA52" s="15"/>
      <c r="AB52" s="15"/>
      <c r="AC52" s="15"/>
      <c r="AD52" s="15"/>
      <c r="AE52" s="15"/>
      <c r="AF52" s="15"/>
    </row>
    <row r="53" spans="1:32" s="16" customFormat="1" ht="12.9" customHeight="1">
      <c r="A53" s="90" t="str">
        <f t="shared" ca="1" si="0"/>
        <v>1966</v>
      </c>
      <c r="B53" s="15"/>
      <c r="C53" s="15"/>
      <c r="D53" s="15"/>
      <c r="E53" s="15"/>
      <c r="F53" s="15"/>
      <c r="G53" s="15"/>
      <c r="H53" s="15"/>
      <c r="I53" s="15"/>
      <c r="J53" s="15"/>
      <c r="K53" s="15"/>
      <c r="L53" s="15"/>
      <c r="M53" s="15"/>
      <c r="N53" s="15"/>
      <c r="O53" s="15"/>
      <c r="P53" s="15"/>
      <c r="Q53" s="15"/>
      <c r="R53" s="15"/>
      <c r="S53" s="15"/>
      <c r="T53" s="15"/>
      <c r="U53" s="15"/>
      <c r="V53" s="15"/>
      <c r="W53" s="15"/>
      <c r="X53" s="15"/>
      <c r="Y53" s="15"/>
      <c r="Z53" s="15"/>
      <c r="AA53" s="15"/>
      <c r="AB53" s="15"/>
      <c r="AC53" s="15"/>
      <c r="AD53" s="15"/>
      <c r="AE53" s="15"/>
      <c r="AF53" s="15"/>
    </row>
    <row r="54" spans="1:32" s="16" customFormat="1" ht="12.9" customHeight="1">
      <c r="A54" s="90" t="str">
        <f t="shared" ca="1" si="0"/>
        <v>1965</v>
      </c>
      <c r="B54" s="15"/>
      <c r="C54" s="15"/>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5"/>
      <c r="AD54" s="15"/>
      <c r="AE54" s="15"/>
      <c r="AF54" s="15"/>
    </row>
    <row r="55" spans="1:32" s="16" customFormat="1" ht="12.9" customHeight="1">
      <c r="A55" s="90" t="str">
        <f t="shared" ca="1" si="0"/>
        <v>1964</v>
      </c>
      <c r="B55" s="15"/>
      <c r="C55" s="15"/>
      <c r="D55" s="15"/>
      <c r="E55" s="15"/>
      <c r="F55" s="15"/>
      <c r="G55" s="15"/>
      <c r="H55" s="15"/>
      <c r="I55" s="15"/>
      <c r="J55" s="15"/>
      <c r="K55" s="15"/>
      <c r="L55" s="15"/>
      <c r="M55" s="15"/>
      <c r="N55" s="15"/>
      <c r="O55" s="15"/>
      <c r="P55" s="15"/>
      <c r="Q55" s="15"/>
      <c r="R55" s="15"/>
      <c r="S55" s="15"/>
      <c r="T55" s="15"/>
      <c r="U55" s="15"/>
      <c r="V55" s="15"/>
      <c r="W55" s="15"/>
      <c r="X55" s="15"/>
      <c r="Y55" s="15"/>
      <c r="Z55" s="15"/>
      <c r="AA55" s="15"/>
      <c r="AB55" s="15"/>
      <c r="AC55" s="15"/>
      <c r="AD55" s="15"/>
      <c r="AE55" s="15"/>
      <c r="AF55" s="15"/>
    </row>
    <row r="56" spans="1:32" s="16" customFormat="1" ht="12.9" customHeight="1">
      <c r="A56" s="90" t="str">
        <f t="shared" ca="1" si="0"/>
        <v>1963</v>
      </c>
      <c r="B56" s="15"/>
      <c r="C56" s="15"/>
      <c r="D56" s="15"/>
      <c r="E56" s="15"/>
      <c r="F56" s="15"/>
      <c r="G56" s="15"/>
      <c r="H56" s="15"/>
      <c r="I56" s="15"/>
      <c r="J56" s="15"/>
      <c r="K56" s="15"/>
      <c r="L56" s="15"/>
      <c r="M56" s="15"/>
      <c r="N56" s="15"/>
      <c r="O56" s="15"/>
      <c r="P56" s="15"/>
      <c r="Q56" s="15"/>
      <c r="R56" s="15"/>
      <c r="S56" s="15"/>
      <c r="T56" s="15"/>
      <c r="U56" s="15"/>
      <c r="V56" s="15"/>
      <c r="W56" s="15"/>
      <c r="X56" s="15"/>
      <c r="Y56" s="15"/>
      <c r="Z56" s="15"/>
      <c r="AA56" s="15"/>
      <c r="AB56" s="15"/>
      <c r="AC56" s="15"/>
      <c r="AD56" s="15"/>
      <c r="AE56" s="15"/>
      <c r="AF56" s="15"/>
    </row>
    <row r="57" spans="1:32" s="16" customFormat="1" ht="12.9" customHeight="1">
      <c r="A57" s="90" t="str">
        <f t="shared" ca="1" si="0"/>
        <v>1962</v>
      </c>
      <c r="B57" s="15"/>
      <c r="C57" s="15"/>
      <c r="D57" s="15"/>
      <c r="E57" s="15"/>
      <c r="F57" s="15"/>
      <c r="G57" s="15"/>
      <c r="H57" s="15"/>
      <c r="I57" s="15"/>
      <c r="J57" s="15"/>
      <c r="K57" s="15"/>
      <c r="L57" s="15"/>
      <c r="M57" s="15"/>
      <c r="N57" s="15"/>
      <c r="O57" s="15"/>
      <c r="P57" s="15"/>
      <c r="Q57" s="15"/>
      <c r="R57" s="15"/>
      <c r="S57" s="15"/>
      <c r="T57" s="15"/>
      <c r="U57" s="15"/>
      <c r="V57" s="15"/>
      <c r="W57" s="15"/>
      <c r="X57" s="15"/>
      <c r="Y57" s="15"/>
      <c r="Z57" s="15"/>
      <c r="AA57" s="15"/>
      <c r="AB57" s="15"/>
      <c r="AC57" s="15"/>
      <c r="AD57" s="15"/>
      <c r="AE57" s="15"/>
      <c r="AF57" s="15"/>
    </row>
    <row r="58" spans="1:32" s="16" customFormat="1" ht="12.9" customHeight="1">
      <c r="A58" s="90" t="str">
        <f t="shared" ca="1" si="0"/>
        <v>1961</v>
      </c>
      <c r="B58" s="15"/>
      <c r="C58" s="15"/>
      <c r="D58" s="15"/>
      <c r="E58" s="15"/>
      <c r="F58" s="15"/>
      <c r="G58" s="15"/>
      <c r="H58" s="15"/>
      <c r="I58" s="15"/>
      <c r="J58" s="15"/>
      <c r="K58" s="15"/>
      <c r="L58" s="15"/>
      <c r="M58" s="15"/>
      <c r="N58" s="15"/>
      <c r="O58" s="15"/>
      <c r="P58" s="15"/>
      <c r="Q58" s="15"/>
      <c r="R58" s="15"/>
      <c r="S58" s="15"/>
      <c r="T58" s="15"/>
      <c r="U58" s="15"/>
      <c r="V58" s="15"/>
      <c r="W58" s="15"/>
      <c r="X58" s="15"/>
      <c r="Y58" s="15"/>
      <c r="Z58" s="15"/>
      <c r="AA58" s="15"/>
      <c r="AB58" s="15"/>
      <c r="AC58" s="15"/>
      <c r="AD58" s="15"/>
      <c r="AE58" s="15"/>
      <c r="AF58" s="15"/>
    </row>
    <row r="59" spans="1:32" s="16" customFormat="1" ht="12.9" customHeight="1">
      <c r="A59" s="90" t="str">
        <f t="shared" ca="1" si="0"/>
        <v>1960</v>
      </c>
      <c r="B59" s="15"/>
      <c r="C59" s="15"/>
      <c r="D59" s="15"/>
      <c r="E59" s="15"/>
      <c r="F59" s="15"/>
      <c r="G59" s="15"/>
      <c r="H59" s="15"/>
      <c r="I59" s="15"/>
      <c r="J59" s="15"/>
      <c r="K59" s="15"/>
      <c r="L59" s="15"/>
      <c r="M59" s="15"/>
      <c r="N59" s="15"/>
      <c r="O59" s="15"/>
      <c r="P59" s="15"/>
      <c r="Q59" s="15"/>
      <c r="R59" s="15"/>
      <c r="S59" s="15"/>
      <c r="T59" s="15"/>
      <c r="U59" s="15"/>
      <c r="V59" s="15"/>
      <c r="W59" s="15"/>
      <c r="X59" s="15"/>
      <c r="Y59" s="15"/>
      <c r="Z59" s="15"/>
      <c r="AA59" s="15"/>
      <c r="AB59" s="15"/>
      <c r="AC59" s="15"/>
      <c r="AD59" s="15"/>
      <c r="AE59" s="15"/>
      <c r="AF59" s="15"/>
    </row>
    <row r="60" spans="1:32" s="16" customFormat="1" ht="12.9" customHeight="1">
      <c r="A60" s="90"/>
      <c r="B60" s="15"/>
      <c r="C60" s="15"/>
      <c r="D60" s="15"/>
      <c r="E60" s="15"/>
      <c r="F60" s="15"/>
      <c r="G60" s="15"/>
      <c r="H60" s="15"/>
      <c r="I60" s="15"/>
      <c r="J60" s="15"/>
      <c r="K60" s="15"/>
      <c r="L60" s="15"/>
      <c r="M60" s="15"/>
      <c r="N60" s="15"/>
      <c r="O60" s="15"/>
      <c r="P60" s="15"/>
      <c r="Q60" s="15"/>
      <c r="R60" s="15"/>
      <c r="S60" s="15"/>
      <c r="T60" s="15"/>
      <c r="U60" s="15"/>
      <c r="V60" s="15"/>
      <c r="W60" s="15"/>
      <c r="X60" s="15"/>
      <c r="Y60" s="15"/>
      <c r="Z60" s="15"/>
      <c r="AA60" s="15"/>
      <c r="AB60" s="15"/>
      <c r="AC60" s="15"/>
      <c r="AD60" s="15"/>
      <c r="AE60" s="15"/>
      <c r="AF60" s="15"/>
    </row>
    <row r="61" spans="1:32" s="16" customFormat="1" ht="12.9" customHeight="1">
      <c r="A61" s="90"/>
      <c r="B61" s="15"/>
      <c r="C61" s="15"/>
      <c r="D61" s="15"/>
      <c r="E61" s="15"/>
      <c r="F61" s="15"/>
      <c r="G61" s="15"/>
      <c r="H61" s="15"/>
      <c r="I61" s="15"/>
      <c r="J61" s="15"/>
      <c r="K61" s="15"/>
      <c r="L61" s="15"/>
      <c r="M61" s="15"/>
      <c r="N61" s="15"/>
      <c r="O61" s="15"/>
      <c r="P61" s="15"/>
      <c r="Q61" s="15"/>
      <c r="R61" s="15"/>
      <c r="S61" s="15"/>
      <c r="T61" s="15"/>
      <c r="U61" s="15"/>
      <c r="V61" s="15"/>
      <c r="W61" s="15"/>
      <c r="X61" s="15"/>
      <c r="Y61" s="15"/>
      <c r="Z61" s="15"/>
      <c r="AA61" s="15"/>
      <c r="AB61" s="15"/>
      <c r="AC61" s="15"/>
      <c r="AD61" s="15"/>
      <c r="AE61" s="15"/>
      <c r="AF61" s="15"/>
    </row>
    <row r="62" spans="1:32" s="16" customFormat="1" ht="12.9" customHeight="1">
      <c r="A62" s="90"/>
      <c r="B62" s="15"/>
      <c r="C62" s="15"/>
      <c r="D62" s="15"/>
      <c r="E62" s="15"/>
      <c r="F62" s="15"/>
      <c r="G62" s="15"/>
      <c r="H62" s="15"/>
      <c r="I62" s="15"/>
      <c r="J62" s="15"/>
      <c r="K62" s="15"/>
      <c r="L62" s="15"/>
      <c r="M62" s="15"/>
      <c r="N62" s="15"/>
      <c r="O62" s="15"/>
      <c r="P62" s="15"/>
      <c r="Q62" s="15"/>
      <c r="R62" s="15"/>
      <c r="S62" s="15"/>
      <c r="T62" s="15"/>
      <c r="U62" s="15"/>
      <c r="V62" s="15"/>
      <c r="W62" s="15"/>
      <c r="X62" s="15"/>
      <c r="Y62" s="15"/>
      <c r="Z62" s="15"/>
      <c r="AA62" s="15"/>
      <c r="AB62" s="15"/>
      <c r="AC62" s="15"/>
      <c r="AD62" s="15"/>
      <c r="AE62" s="15"/>
      <c r="AF62" s="15"/>
    </row>
    <row r="63" spans="1:32" s="16" customFormat="1" ht="12.9" customHeight="1">
      <c r="A63" s="90"/>
      <c r="B63" s="15"/>
      <c r="C63" s="15"/>
      <c r="D63" s="15"/>
      <c r="E63" s="15"/>
      <c r="F63" s="15"/>
      <c r="G63" s="15"/>
      <c r="H63" s="15"/>
      <c r="I63" s="15"/>
      <c r="J63" s="15"/>
      <c r="K63" s="15"/>
      <c r="L63" s="15"/>
      <c r="M63" s="15"/>
      <c r="N63" s="15"/>
      <c r="O63" s="15"/>
      <c r="P63" s="15"/>
      <c r="Q63" s="15"/>
      <c r="R63" s="15"/>
      <c r="S63" s="15"/>
      <c r="T63" s="15"/>
      <c r="U63" s="15"/>
      <c r="V63" s="15"/>
      <c r="W63" s="15"/>
      <c r="X63" s="15"/>
      <c r="Y63" s="15"/>
      <c r="Z63" s="15"/>
      <c r="AA63" s="15"/>
      <c r="AB63" s="15"/>
      <c r="AC63" s="15"/>
      <c r="AD63" s="15"/>
      <c r="AE63" s="15"/>
      <c r="AF63" s="15"/>
    </row>
    <row r="64" spans="1:32" s="16" customFormat="1" ht="12.9" customHeight="1">
      <c r="A64" s="90"/>
      <c r="B64" s="15"/>
      <c r="C64" s="15"/>
      <c r="D64" s="15"/>
      <c r="E64" s="15"/>
      <c r="F64" s="15"/>
      <c r="G64" s="15"/>
      <c r="H64" s="15"/>
      <c r="I64" s="15"/>
      <c r="J64" s="15"/>
      <c r="K64" s="15"/>
      <c r="L64" s="15"/>
      <c r="M64" s="15"/>
      <c r="N64" s="15"/>
      <c r="O64" s="15"/>
      <c r="P64" s="15"/>
      <c r="Q64" s="15"/>
      <c r="R64" s="15"/>
      <c r="S64" s="15"/>
      <c r="T64" s="15"/>
      <c r="U64" s="15"/>
      <c r="V64" s="15"/>
      <c r="W64" s="15"/>
      <c r="X64" s="15"/>
      <c r="Y64" s="15"/>
      <c r="Z64" s="15"/>
      <c r="AA64" s="15"/>
      <c r="AB64" s="15"/>
      <c r="AC64" s="15"/>
      <c r="AD64" s="15"/>
      <c r="AE64" s="15"/>
      <c r="AF64" s="15"/>
    </row>
    <row r="65" spans="1:32" s="16" customFormat="1" ht="12.9" customHeight="1">
      <c r="A65" s="90"/>
      <c r="B65" s="15"/>
      <c r="C65" s="15"/>
      <c r="D65" s="15"/>
      <c r="E65" s="15"/>
      <c r="F65" s="15"/>
      <c r="G65" s="15"/>
      <c r="H65" s="15"/>
      <c r="I65" s="15"/>
      <c r="J65" s="15"/>
      <c r="K65" s="15"/>
      <c r="L65" s="15"/>
      <c r="M65" s="15"/>
      <c r="N65" s="15"/>
      <c r="O65" s="15"/>
      <c r="P65" s="15"/>
      <c r="Q65" s="15"/>
      <c r="R65" s="15"/>
      <c r="S65" s="15"/>
      <c r="T65" s="15"/>
      <c r="U65" s="15"/>
      <c r="V65" s="15"/>
      <c r="W65" s="15"/>
      <c r="X65" s="15"/>
      <c r="Y65" s="15"/>
      <c r="Z65" s="15"/>
      <c r="AA65" s="15"/>
      <c r="AB65" s="15"/>
      <c r="AC65" s="15"/>
      <c r="AD65" s="15"/>
      <c r="AE65" s="15"/>
      <c r="AF65" s="15"/>
    </row>
    <row r="66" spans="1:32" s="16" customFormat="1" ht="12.9" customHeight="1">
      <c r="A66" s="90"/>
      <c r="B66" s="15"/>
      <c r="C66" s="15"/>
      <c r="D66" s="15"/>
      <c r="E66" s="15"/>
      <c r="F66" s="15"/>
      <c r="G66" s="15"/>
      <c r="H66" s="15"/>
      <c r="I66" s="15"/>
      <c r="J66" s="15"/>
      <c r="K66" s="15"/>
      <c r="L66" s="15"/>
      <c r="M66" s="15"/>
      <c r="N66" s="15"/>
      <c r="O66" s="15"/>
      <c r="P66" s="15"/>
      <c r="Q66" s="15"/>
      <c r="R66" s="15"/>
      <c r="S66" s="15"/>
      <c r="T66" s="15"/>
      <c r="U66" s="15"/>
      <c r="V66" s="15"/>
      <c r="W66" s="15"/>
      <c r="X66" s="15"/>
      <c r="Y66" s="15"/>
      <c r="Z66" s="15"/>
      <c r="AA66" s="15"/>
      <c r="AB66" s="15"/>
      <c r="AC66" s="15"/>
      <c r="AD66" s="15"/>
      <c r="AE66" s="15"/>
      <c r="AF66" s="15"/>
    </row>
    <row r="67" spans="1:32" s="16" customFormat="1" ht="12.9" customHeight="1">
      <c r="A67" s="90"/>
      <c r="B67" s="15"/>
      <c r="C67" s="15"/>
      <c r="D67" s="15"/>
      <c r="E67" s="15"/>
      <c r="F67" s="15"/>
      <c r="G67" s="15"/>
      <c r="H67" s="15"/>
      <c r="I67" s="15"/>
      <c r="J67" s="15"/>
      <c r="K67" s="15"/>
      <c r="L67" s="15"/>
      <c r="M67" s="15"/>
      <c r="N67" s="15"/>
      <c r="O67" s="15"/>
      <c r="P67" s="15"/>
      <c r="Q67" s="15"/>
      <c r="R67" s="15"/>
      <c r="S67" s="15"/>
      <c r="T67" s="15"/>
      <c r="U67" s="15"/>
      <c r="V67" s="15"/>
      <c r="W67" s="15"/>
      <c r="X67" s="15"/>
      <c r="Y67" s="15"/>
      <c r="Z67" s="15"/>
      <c r="AA67" s="15"/>
      <c r="AB67" s="15"/>
      <c r="AC67" s="15"/>
      <c r="AD67" s="15"/>
      <c r="AE67" s="15"/>
      <c r="AF67" s="15"/>
    </row>
    <row r="68" spans="1:32" s="16" customFormat="1" ht="12.9" customHeight="1">
      <c r="A68" s="90"/>
      <c r="B68" s="15"/>
      <c r="C68" s="15"/>
      <c r="D68" s="15"/>
      <c r="E68" s="15"/>
      <c r="F68" s="15"/>
      <c r="G68" s="15"/>
      <c r="H68" s="15"/>
      <c r="I68" s="15"/>
      <c r="J68" s="15"/>
      <c r="K68" s="15"/>
      <c r="L68" s="15"/>
      <c r="M68" s="15"/>
      <c r="N68" s="15"/>
      <c r="O68" s="15"/>
      <c r="P68" s="15"/>
      <c r="Q68" s="15"/>
      <c r="R68" s="15"/>
      <c r="S68" s="15"/>
      <c r="T68" s="15"/>
      <c r="U68" s="15"/>
      <c r="V68" s="15"/>
      <c r="W68" s="15"/>
      <c r="X68" s="15"/>
      <c r="Y68" s="15"/>
      <c r="Z68" s="15"/>
      <c r="AA68" s="15"/>
      <c r="AB68" s="15"/>
      <c r="AC68" s="15"/>
      <c r="AD68" s="15"/>
      <c r="AE68" s="15"/>
      <c r="AF68" s="15"/>
    </row>
    <row r="69" spans="1:32" s="16" customFormat="1" ht="12.9" customHeight="1">
      <c r="A69" s="90"/>
      <c r="B69" s="15"/>
      <c r="C69" s="15"/>
      <c r="D69" s="15"/>
      <c r="E69" s="15"/>
      <c r="F69" s="15"/>
      <c r="G69" s="15"/>
      <c r="H69" s="15"/>
      <c r="I69" s="15"/>
      <c r="J69" s="15"/>
      <c r="K69" s="15"/>
      <c r="L69" s="15"/>
      <c r="M69" s="15"/>
      <c r="N69" s="15"/>
      <c r="O69" s="15"/>
      <c r="P69" s="15"/>
      <c r="Q69" s="15"/>
      <c r="R69" s="15"/>
      <c r="S69" s="15"/>
      <c r="T69" s="15"/>
      <c r="U69" s="15"/>
      <c r="V69" s="15"/>
      <c r="W69" s="15"/>
      <c r="X69" s="15"/>
      <c r="Y69" s="15"/>
      <c r="Z69" s="15"/>
      <c r="AA69" s="15"/>
      <c r="AB69" s="15"/>
      <c r="AC69" s="15"/>
      <c r="AD69" s="15"/>
      <c r="AE69" s="15"/>
      <c r="AF69" s="15"/>
    </row>
    <row r="70" spans="1:32" s="16" customFormat="1" ht="12.9" customHeight="1">
      <c r="A70" s="90"/>
      <c r="B70" s="15"/>
      <c r="C70" s="15"/>
      <c r="D70" s="15"/>
      <c r="E70" s="15"/>
      <c r="F70" s="15"/>
      <c r="G70" s="15"/>
      <c r="H70" s="15"/>
      <c r="I70" s="15"/>
      <c r="J70" s="15"/>
      <c r="K70" s="15"/>
      <c r="L70" s="15"/>
      <c r="M70" s="15"/>
      <c r="N70" s="15"/>
      <c r="O70" s="15"/>
      <c r="P70" s="15"/>
      <c r="Q70" s="15"/>
      <c r="R70" s="15"/>
      <c r="S70" s="15"/>
      <c r="T70" s="15"/>
      <c r="U70" s="15"/>
      <c r="V70" s="15"/>
      <c r="W70" s="15"/>
      <c r="X70" s="15"/>
      <c r="Y70" s="15"/>
      <c r="Z70" s="15"/>
      <c r="AA70" s="15"/>
      <c r="AB70" s="15"/>
      <c r="AC70" s="15"/>
      <c r="AD70" s="15"/>
      <c r="AE70" s="15"/>
      <c r="AF70" s="15"/>
    </row>
    <row r="71" spans="1:32" s="16" customFormat="1" ht="12.9" customHeight="1">
      <c r="A71" s="90"/>
      <c r="B71" s="15"/>
      <c r="C71" s="15"/>
      <c r="D71" s="15"/>
      <c r="E71" s="15"/>
      <c r="F71" s="15"/>
      <c r="G71" s="15"/>
      <c r="H71" s="15"/>
      <c r="I71" s="15"/>
      <c r="J71" s="15"/>
      <c r="K71" s="15"/>
      <c r="L71" s="15"/>
      <c r="M71" s="15"/>
      <c r="N71" s="15"/>
      <c r="O71" s="15"/>
      <c r="P71" s="15"/>
      <c r="Q71" s="15"/>
      <c r="R71" s="15"/>
      <c r="S71" s="15"/>
      <c r="T71" s="15"/>
      <c r="U71" s="15"/>
      <c r="V71" s="15"/>
      <c r="W71" s="15"/>
      <c r="X71" s="15"/>
      <c r="Y71" s="15"/>
      <c r="Z71" s="15"/>
      <c r="AA71" s="15"/>
      <c r="AB71" s="15"/>
      <c r="AC71" s="15"/>
      <c r="AD71" s="15"/>
      <c r="AE71" s="15"/>
      <c r="AF71" s="15"/>
    </row>
    <row r="72" spans="1:32" s="16" customFormat="1" ht="12.9" customHeight="1">
      <c r="A72" s="90"/>
      <c r="B72" s="15"/>
      <c r="C72" s="15"/>
      <c r="D72" s="15"/>
      <c r="E72" s="15"/>
      <c r="F72" s="15"/>
      <c r="G72" s="15"/>
      <c r="H72" s="15"/>
      <c r="I72" s="15"/>
      <c r="J72" s="15"/>
      <c r="K72" s="15"/>
      <c r="L72" s="15"/>
      <c r="M72" s="15"/>
      <c r="N72" s="15"/>
      <c r="O72" s="15"/>
      <c r="P72" s="15"/>
      <c r="Q72" s="15"/>
      <c r="R72" s="15"/>
      <c r="S72" s="15"/>
      <c r="T72" s="15"/>
      <c r="U72" s="15"/>
      <c r="V72" s="15"/>
      <c r="W72" s="15"/>
      <c r="X72" s="15"/>
      <c r="Y72" s="15"/>
      <c r="Z72" s="15"/>
      <c r="AA72" s="15"/>
      <c r="AB72" s="15"/>
      <c r="AC72" s="15"/>
      <c r="AD72" s="15"/>
      <c r="AE72" s="15"/>
      <c r="AF72" s="15"/>
    </row>
    <row r="73" spans="1:32" s="16" customFormat="1" ht="12.9" customHeight="1">
      <c r="A73" s="90"/>
      <c r="B73" s="15"/>
      <c r="C73" s="15"/>
      <c r="D73" s="15"/>
      <c r="E73" s="15"/>
      <c r="F73" s="15"/>
      <c r="G73" s="15"/>
      <c r="H73" s="15"/>
      <c r="I73" s="15"/>
      <c r="J73" s="15"/>
      <c r="K73" s="15"/>
      <c r="L73" s="15"/>
      <c r="M73" s="15"/>
      <c r="N73" s="15"/>
      <c r="O73" s="15"/>
      <c r="P73" s="15"/>
      <c r="Q73" s="15"/>
      <c r="R73" s="15"/>
      <c r="S73" s="15"/>
      <c r="T73" s="15"/>
      <c r="U73" s="15"/>
      <c r="V73" s="15"/>
      <c r="W73" s="15"/>
      <c r="X73" s="15"/>
      <c r="Y73" s="15"/>
      <c r="Z73" s="15"/>
      <c r="AA73" s="15"/>
      <c r="AB73" s="15"/>
      <c r="AC73" s="15"/>
      <c r="AD73" s="15"/>
      <c r="AE73" s="15"/>
      <c r="AF73" s="15"/>
    </row>
    <row r="74" spans="1:32" s="16" customFormat="1" ht="12.9" customHeight="1">
      <c r="A74" s="90"/>
      <c r="B74" s="15"/>
      <c r="C74" s="15"/>
      <c r="D74" s="15"/>
      <c r="E74" s="15"/>
      <c r="F74" s="15"/>
      <c r="G74" s="15"/>
      <c r="H74" s="15"/>
      <c r="I74" s="15"/>
      <c r="J74" s="15"/>
      <c r="K74" s="15"/>
      <c r="L74" s="15"/>
      <c r="M74" s="15"/>
      <c r="N74" s="15"/>
      <c r="O74" s="15"/>
      <c r="P74" s="15"/>
      <c r="Q74" s="15"/>
      <c r="R74" s="15"/>
      <c r="S74" s="15"/>
      <c r="T74" s="15"/>
      <c r="U74" s="15"/>
      <c r="V74" s="15"/>
      <c r="W74" s="15"/>
      <c r="X74" s="15"/>
      <c r="Y74" s="15"/>
      <c r="Z74" s="15"/>
      <c r="AA74" s="15"/>
      <c r="AB74" s="15"/>
      <c r="AC74" s="15"/>
      <c r="AD74" s="15"/>
      <c r="AE74" s="15"/>
      <c r="AF74" s="15"/>
    </row>
    <row r="75" spans="1:32" s="16" customFormat="1" ht="12.9" customHeight="1">
      <c r="A75" s="90"/>
      <c r="B75" s="15"/>
      <c r="C75" s="15"/>
      <c r="D75" s="15"/>
      <c r="E75" s="15"/>
      <c r="F75" s="15"/>
      <c r="G75" s="15"/>
      <c r="H75" s="15"/>
      <c r="I75" s="15"/>
      <c r="J75" s="15"/>
      <c r="K75" s="15"/>
      <c r="L75" s="15"/>
      <c r="M75" s="15"/>
      <c r="N75" s="15"/>
      <c r="O75" s="15"/>
      <c r="P75" s="15"/>
      <c r="Q75" s="15"/>
      <c r="R75" s="15"/>
      <c r="S75" s="15"/>
      <c r="T75" s="15"/>
      <c r="U75" s="15"/>
      <c r="V75" s="15"/>
      <c r="W75" s="15"/>
      <c r="X75" s="15"/>
      <c r="Y75" s="15"/>
      <c r="Z75" s="15"/>
      <c r="AA75" s="15"/>
      <c r="AB75" s="15"/>
      <c r="AC75" s="15"/>
      <c r="AD75" s="15"/>
      <c r="AE75" s="15"/>
      <c r="AF75" s="15"/>
    </row>
    <row r="76" spans="1:32" s="16" customFormat="1" ht="12.9" customHeight="1">
      <c r="A76" s="90"/>
      <c r="B76" s="15"/>
      <c r="C76" s="15"/>
      <c r="D76" s="15"/>
      <c r="E76" s="15"/>
      <c r="F76" s="15"/>
      <c r="G76" s="15"/>
      <c r="H76" s="15"/>
      <c r="I76" s="15"/>
      <c r="J76" s="15"/>
      <c r="K76" s="15"/>
      <c r="L76" s="15"/>
      <c r="M76" s="15"/>
      <c r="N76" s="15"/>
      <c r="O76" s="15"/>
      <c r="P76" s="15"/>
      <c r="Q76" s="15"/>
      <c r="R76" s="15"/>
      <c r="S76" s="15"/>
      <c r="T76" s="15"/>
      <c r="U76" s="15"/>
      <c r="V76" s="15"/>
      <c r="W76" s="15"/>
      <c r="X76" s="15"/>
      <c r="Y76" s="15"/>
      <c r="Z76" s="15"/>
      <c r="AA76" s="15"/>
      <c r="AB76" s="15"/>
      <c r="AC76" s="15"/>
      <c r="AD76" s="15"/>
      <c r="AE76" s="15"/>
      <c r="AF76" s="15"/>
    </row>
    <row r="77" spans="1:32" s="16" customFormat="1" ht="12.9" customHeight="1">
      <c r="A77" s="90"/>
      <c r="B77" s="15"/>
      <c r="C77" s="15"/>
      <c r="D77" s="15"/>
      <c r="E77" s="15"/>
      <c r="F77" s="15"/>
      <c r="G77" s="15"/>
      <c r="H77" s="15"/>
      <c r="I77" s="15"/>
      <c r="J77" s="15"/>
      <c r="K77" s="15"/>
      <c r="L77" s="15"/>
      <c r="M77" s="15"/>
      <c r="N77" s="15"/>
      <c r="O77" s="15"/>
      <c r="P77" s="15"/>
      <c r="Q77" s="15"/>
      <c r="R77" s="15"/>
      <c r="S77" s="15"/>
      <c r="T77" s="15"/>
      <c r="U77" s="15"/>
      <c r="V77" s="15"/>
      <c r="W77" s="15"/>
      <c r="X77" s="15"/>
      <c r="Y77" s="15"/>
      <c r="Z77" s="15"/>
      <c r="AA77" s="15"/>
      <c r="AB77" s="15"/>
      <c r="AC77" s="15"/>
      <c r="AD77" s="15"/>
      <c r="AE77" s="15"/>
      <c r="AF77" s="15"/>
    </row>
    <row r="78" spans="1:32" s="16" customFormat="1" ht="12.9" customHeight="1">
      <c r="A78" s="90"/>
      <c r="B78" s="15"/>
      <c r="C78" s="15"/>
      <c r="D78" s="15"/>
      <c r="E78" s="15"/>
      <c r="F78" s="15"/>
      <c r="G78" s="15"/>
      <c r="H78" s="15"/>
      <c r="I78" s="15"/>
      <c r="J78" s="15"/>
      <c r="K78" s="15"/>
      <c r="L78" s="15"/>
      <c r="M78" s="15"/>
      <c r="N78" s="15"/>
      <c r="O78" s="15"/>
      <c r="P78" s="15"/>
      <c r="Q78" s="15"/>
      <c r="R78" s="15"/>
      <c r="S78" s="15"/>
      <c r="T78" s="15"/>
      <c r="U78" s="15"/>
      <c r="V78" s="15"/>
      <c r="W78" s="15"/>
      <c r="X78" s="15"/>
      <c r="Y78" s="15"/>
      <c r="Z78" s="15"/>
      <c r="AA78" s="15"/>
      <c r="AB78" s="15"/>
      <c r="AC78" s="15"/>
      <c r="AD78" s="15"/>
      <c r="AE78" s="15"/>
      <c r="AF78" s="15"/>
    </row>
    <row r="79" spans="1:32" s="16" customFormat="1" ht="12.9" customHeight="1">
      <c r="A79" s="90"/>
      <c r="B79" s="15"/>
      <c r="C79" s="15"/>
      <c r="D79" s="15"/>
      <c r="E79" s="15"/>
      <c r="F79" s="15"/>
      <c r="G79" s="15"/>
      <c r="H79" s="15"/>
      <c r="I79" s="15"/>
      <c r="J79" s="15"/>
      <c r="K79" s="15"/>
      <c r="L79" s="15"/>
      <c r="M79" s="15"/>
      <c r="N79" s="15"/>
      <c r="O79" s="15"/>
      <c r="P79" s="15"/>
      <c r="Q79" s="15"/>
      <c r="R79" s="15"/>
      <c r="S79" s="15"/>
      <c r="T79" s="15"/>
      <c r="U79" s="15"/>
      <c r="V79" s="15"/>
      <c r="W79" s="15"/>
      <c r="X79" s="15"/>
      <c r="Y79" s="15"/>
      <c r="Z79" s="15"/>
      <c r="AA79" s="15"/>
      <c r="AB79" s="15"/>
      <c r="AC79" s="15"/>
      <c r="AD79" s="15"/>
      <c r="AE79" s="15"/>
      <c r="AF79" s="15"/>
    </row>
    <row r="80" spans="1:32" s="16" customFormat="1" ht="12.9" customHeight="1">
      <c r="A80" s="90"/>
      <c r="B80" s="15"/>
      <c r="C80" s="15"/>
      <c r="D80" s="15"/>
      <c r="E80" s="15"/>
      <c r="F80" s="15"/>
      <c r="G80" s="15"/>
      <c r="H80" s="15"/>
      <c r="I80" s="15"/>
      <c r="J80" s="15"/>
      <c r="K80" s="15"/>
      <c r="L80" s="15"/>
      <c r="M80" s="15"/>
      <c r="N80" s="15"/>
      <c r="O80" s="15"/>
      <c r="P80" s="15"/>
      <c r="Q80" s="15"/>
      <c r="R80" s="15"/>
      <c r="S80" s="15"/>
      <c r="T80" s="15"/>
      <c r="U80" s="15"/>
      <c r="V80" s="15"/>
      <c r="W80" s="15"/>
      <c r="X80" s="15"/>
      <c r="Y80" s="15"/>
      <c r="Z80" s="15"/>
      <c r="AA80" s="15"/>
      <c r="AB80" s="15"/>
      <c r="AC80" s="15"/>
      <c r="AD80" s="15"/>
      <c r="AE80" s="15"/>
      <c r="AF80" s="15"/>
    </row>
    <row r="81" spans="1:32" s="16" customFormat="1" ht="12.9" customHeight="1">
      <c r="A81" s="90"/>
      <c r="B81" s="15"/>
      <c r="C81" s="15"/>
      <c r="D81" s="15"/>
      <c r="E81" s="15"/>
      <c r="F81" s="15"/>
      <c r="G81" s="15"/>
      <c r="H81" s="15"/>
      <c r="I81" s="15"/>
      <c r="J81" s="15"/>
      <c r="K81" s="15"/>
      <c r="L81" s="15"/>
      <c r="M81" s="15"/>
      <c r="N81" s="15"/>
      <c r="O81" s="15"/>
      <c r="P81" s="15"/>
      <c r="Q81" s="15"/>
      <c r="R81" s="15"/>
      <c r="S81" s="15"/>
      <c r="T81" s="15"/>
      <c r="U81" s="15"/>
      <c r="V81" s="15"/>
      <c r="W81" s="15"/>
      <c r="X81" s="15"/>
      <c r="Y81" s="15"/>
      <c r="Z81" s="15"/>
      <c r="AA81" s="15"/>
      <c r="AB81" s="15"/>
      <c r="AC81" s="15"/>
      <c r="AD81" s="15"/>
      <c r="AE81" s="15"/>
      <c r="AF81" s="15"/>
    </row>
    <row r="82" spans="1:32" s="16" customFormat="1" ht="12.9" customHeight="1">
      <c r="A82" s="90"/>
      <c r="B82" s="15"/>
      <c r="C82" s="15"/>
      <c r="D82" s="15"/>
      <c r="E82" s="15"/>
      <c r="F82" s="15"/>
      <c r="G82" s="15"/>
      <c r="H82" s="15"/>
      <c r="I82" s="15"/>
      <c r="J82" s="15"/>
      <c r="K82" s="15"/>
      <c r="L82" s="15"/>
      <c r="M82" s="15"/>
      <c r="N82" s="15"/>
      <c r="O82" s="15"/>
      <c r="P82" s="15"/>
      <c r="Q82" s="15"/>
      <c r="R82" s="15"/>
      <c r="S82" s="15"/>
      <c r="T82" s="15"/>
      <c r="U82" s="15"/>
      <c r="V82" s="15"/>
      <c r="W82" s="15"/>
      <c r="X82" s="15"/>
      <c r="Y82" s="15"/>
      <c r="Z82" s="15"/>
      <c r="AA82" s="15"/>
      <c r="AB82" s="15"/>
      <c r="AC82" s="15"/>
      <c r="AD82" s="15"/>
      <c r="AE82" s="15"/>
      <c r="AF82" s="15"/>
    </row>
    <row r="83" spans="1:32" s="16" customFormat="1" ht="12.9" customHeight="1">
      <c r="A83" s="90"/>
      <c r="B83" s="15"/>
      <c r="C83" s="15"/>
      <c r="D83" s="15"/>
      <c r="E83" s="15"/>
      <c r="F83" s="15"/>
      <c r="G83" s="15"/>
      <c r="H83" s="15"/>
      <c r="I83" s="15"/>
      <c r="J83" s="15"/>
      <c r="K83" s="15"/>
      <c r="L83" s="15"/>
      <c r="M83" s="15"/>
      <c r="N83" s="15"/>
      <c r="O83" s="15"/>
      <c r="P83" s="15"/>
      <c r="Q83" s="15"/>
      <c r="R83" s="15"/>
      <c r="S83" s="15"/>
      <c r="T83" s="15"/>
      <c r="U83" s="15"/>
      <c r="V83" s="15"/>
      <c r="W83" s="15"/>
      <c r="X83" s="15"/>
      <c r="Y83" s="15"/>
      <c r="Z83" s="15"/>
      <c r="AA83" s="15"/>
      <c r="AB83" s="15"/>
      <c r="AC83" s="15"/>
      <c r="AD83" s="15"/>
      <c r="AE83" s="15"/>
      <c r="AF83" s="15"/>
    </row>
    <row r="84" spans="1:32" s="16" customFormat="1" ht="12.9" customHeight="1">
      <c r="A84" s="90"/>
      <c r="B84" s="15"/>
      <c r="C84" s="15"/>
      <c r="D84" s="15"/>
      <c r="E84" s="15"/>
      <c r="F84" s="15"/>
      <c r="G84" s="15"/>
      <c r="H84" s="15"/>
      <c r="I84" s="15"/>
      <c r="J84" s="15"/>
      <c r="K84" s="15"/>
      <c r="L84" s="15"/>
      <c r="M84" s="15"/>
      <c r="N84" s="15"/>
      <c r="O84" s="15"/>
      <c r="P84" s="15"/>
      <c r="Q84" s="15"/>
      <c r="R84" s="15"/>
      <c r="S84" s="15"/>
      <c r="T84" s="15"/>
      <c r="U84" s="15"/>
      <c r="V84" s="15"/>
      <c r="W84" s="15"/>
      <c r="X84" s="15"/>
      <c r="Y84" s="15"/>
      <c r="Z84" s="15"/>
      <c r="AA84" s="15"/>
      <c r="AB84" s="15"/>
      <c r="AC84" s="15"/>
      <c r="AD84" s="15"/>
      <c r="AE84" s="15"/>
      <c r="AF84" s="15"/>
    </row>
    <row r="85" spans="1:32" s="16" customFormat="1" ht="12.9" customHeight="1">
      <c r="A85" s="90"/>
      <c r="B85" s="15"/>
      <c r="C85" s="15"/>
      <c r="D85" s="15"/>
      <c r="E85" s="15"/>
      <c r="F85" s="15"/>
      <c r="G85" s="15"/>
      <c r="H85" s="15"/>
      <c r="I85" s="15"/>
      <c r="J85" s="15"/>
      <c r="K85" s="15"/>
      <c r="L85" s="15"/>
      <c r="M85" s="15"/>
      <c r="N85" s="15"/>
      <c r="O85" s="15"/>
      <c r="P85" s="15"/>
      <c r="Q85" s="15"/>
      <c r="R85" s="15"/>
      <c r="S85" s="15"/>
      <c r="T85" s="15"/>
      <c r="U85" s="15"/>
      <c r="V85" s="15"/>
      <c r="W85" s="15"/>
      <c r="X85" s="15"/>
      <c r="Y85" s="15"/>
      <c r="Z85" s="15"/>
      <c r="AA85" s="15"/>
      <c r="AB85" s="15"/>
      <c r="AC85" s="15"/>
      <c r="AD85" s="15"/>
      <c r="AE85" s="15"/>
      <c r="AF85" s="15"/>
    </row>
    <row r="86" spans="1:32" s="16" customFormat="1" ht="12.9" customHeight="1">
      <c r="A86" s="90"/>
      <c r="B86" s="15"/>
      <c r="C86" s="15"/>
      <c r="D86" s="15"/>
      <c r="E86" s="15"/>
      <c r="F86" s="15"/>
      <c r="G86" s="15"/>
      <c r="H86" s="15"/>
      <c r="I86" s="15"/>
      <c r="J86" s="15"/>
      <c r="K86" s="15"/>
      <c r="L86" s="15"/>
      <c r="M86" s="15"/>
      <c r="N86" s="15"/>
      <c r="O86" s="15"/>
      <c r="P86" s="15"/>
      <c r="Q86" s="15"/>
      <c r="R86" s="15"/>
      <c r="S86" s="15"/>
      <c r="T86" s="15"/>
      <c r="U86" s="15"/>
      <c r="V86" s="15"/>
      <c r="W86" s="15"/>
      <c r="X86" s="15"/>
      <c r="Y86" s="15"/>
      <c r="Z86" s="15"/>
      <c r="AA86" s="15"/>
      <c r="AB86" s="15"/>
      <c r="AC86" s="15"/>
      <c r="AD86" s="15"/>
      <c r="AE86" s="15"/>
      <c r="AF86" s="15"/>
    </row>
    <row r="87" spans="1:32" s="16" customFormat="1" ht="12.9" customHeight="1">
      <c r="A87" s="90"/>
      <c r="B87" s="15"/>
      <c r="C87" s="15"/>
      <c r="D87" s="15"/>
      <c r="E87" s="15"/>
      <c r="F87" s="15"/>
      <c r="G87" s="15"/>
      <c r="H87" s="15"/>
      <c r="I87" s="15"/>
      <c r="J87" s="15"/>
      <c r="K87" s="15"/>
      <c r="L87" s="15"/>
      <c r="M87" s="15"/>
      <c r="N87" s="15"/>
      <c r="O87" s="15"/>
      <c r="P87" s="15"/>
      <c r="Q87" s="15"/>
      <c r="R87" s="15"/>
      <c r="S87" s="15"/>
      <c r="T87" s="15"/>
      <c r="U87" s="15"/>
      <c r="V87" s="15"/>
      <c r="W87" s="15"/>
      <c r="X87" s="15"/>
      <c r="Y87" s="15"/>
      <c r="Z87" s="15"/>
      <c r="AA87" s="15"/>
      <c r="AB87" s="15"/>
      <c r="AC87" s="15"/>
      <c r="AD87" s="15"/>
      <c r="AE87" s="15"/>
      <c r="AF87" s="15"/>
    </row>
    <row r="88" spans="1:32" s="16" customFormat="1" ht="12.9" customHeight="1">
      <c r="A88" s="90"/>
      <c r="B88" s="15"/>
      <c r="C88" s="15"/>
      <c r="D88" s="15"/>
      <c r="E88" s="15"/>
      <c r="F88" s="15"/>
      <c r="G88" s="15"/>
      <c r="H88" s="15"/>
      <c r="I88" s="15"/>
      <c r="J88" s="15"/>
      <c r="K88" s="15"/>
      <c r="L88" s="15"/>
      <c r="M88" s="15"/>
      <c r="N88" s="15"/>
      <c r="O88" s="15"/>
      <c r="P88" s="15"/>
      <c r="Q88" s="15"/>
      <c r="R88" s="15"/>
      <c r="S88" s="15"/>
      <c r="T88" s="15"/>
      <c r="U88" s="15"/>
      <c r="V88" s="15"/>
      <c r="W88" s="15"/>
      <c r="X88" s="15"/>
      <c r="Y88" s="15"/>
      <c r="Z88" s="15"/>
      <c r="AA88" s="15"/>
      <c r="AB88" s="15"/>
      <c r="AC88" s="15"/>
      <c r="AD88" s="15"/>
      <c r="AE88" s="15"/>
      <c r="AF88" s="15"/>
    </row>
    <row r="89" spans="1:32" s="16" customFormat="1" ht="12.9" customHeight="1">
      <c r="A89" s="90"/>
      <c r="B89" s="15"/>
      <c r="C89" s="15"/>
      <c r="D89" s="15"/>
      <c r="E89" s="15"/>
      <c r="F89" s="15"/>
      <c r="G89" s="15"/>
      <c r="H89" s="15"/>
      <c r="I89" s="15"/>
      <c r="J89" s="15"/>
      <c r="K89" s="15"/>
      <c r="L89" s="15"/>
      <c r="M89" s="15"/>
      <c r="N89" s="15"/>
      <c r="O89" s="15"/>
      <c r="P89" s="15"/>
      <c r="Q89" s="15"/>
      <c r="R89" s="15"/>
      <c r="S89" s="15"/>
      <c r="T89" s="15"/>
      <c r="U89" s="15"/>
      <c r="V89" s="15"/>
      <c r="W89" s="15"/>
      <c r="X89" s="15"/>
      <c r="Y89" s="15"/>
      <c r="Z89" s="15"/>
      <c r="AA89" s="15"/>
      <c r="AB89" s="15"/>
      <c r="AC89" s="15"/>
      <c r="AD89" s="15"/>
      <c r="AE89" s="15"/>
      <c r="AF89" s="15"/>
    </row>
    <row r="90" spans="1:32" s="16" customFormat="1" ht="12.9" customHeight="1">
      <c r="A90" s="90"/>
      <c r="B90" s="15"/>
      <c r="C90" s="15"/>
      <c r="D90" s="15"/>
      <c r="E90" s="15"/>
      <c r="F90" s="15"/>
      <c r="G90" s="15"/>
      <c r="H90" s="15"/>
      <c r="I90" s="15"/>
      <c r="J90" s="15"/>
      <c r="K90" s="15"/>
      <c r="L90" s="15"/>
      <c r="M90" s="15"/>
      <c r="N90" s="15"/>
      <c r="O90" s="15"/>
      <c r="P90" s="15"/>
      <c r="Q90" s="15"/>
      <c r="R90" s="15"/>
      <c r="S90" s="15"/>
      <c r="T90" s="15"/>
      <c r="U90" s="15"/>
      <c r="V90" s="15"/>
      <c r="W90" s="15"/>
      <c r="X90" s="15"/>
      <c r="Y90" s="15"/>
      <c r="Z90" s="15"/>
      <c r="AA90" s="15"/>
      <c r="AB90" s="15"/>
      <c r="AC90" s="15"/>
      <c r="AD90" s="15"/>
      <c r="AE90" s="15"/>
      <c r="AF90" s="15"/>
    </row>
    <row r="91" spans="1:32" s="16" customFormat="1" ht="12.9" customHeight="1">
      <c r="A91" s="90"/>
      <c r="B91" s="15"/>
      <c r="C91" s="15"/>
      <c r="D91" s="15"/>
      <c r="E91" s="15"/>
      <c r="F91" s="15"/>
      <c r="G91" s="15"/>
      <c r="H91" s="15"/>
      <c r="I91" s="15"/>
      <c r="J91" s="15"/>
      <c r="K91" s="15"/>
      <c r="L91" s="15"/>
      <c r="M91" s="15"/>
      <c r="N91" s="15"/>
      <c r="O91" s="15"/>
      <c r="P91" s="15"/>
      <c r="Q91" s="15"/>
      <c r="R91" s="15"/>
      <c r="S91" s="15"/>
      <c r="T91" s="15"/>
      <c r="U91" s="15"/>
      <c r="V91" s="15"/>
      <c r="W91" s="15"/>
      <c r="X91" s="15"/>
      <c r="Y91" s="15"/>
      <c r="Z91" s="15"/>
      <c r="AA91" s="15"/>
      <c r="AB91" s="15"/>
      <c r="AC91" s="15"/>
      <c r="AD91" s="15"/>
      <c r="AE91" s="15"/>
      <c r="AF91" s="15"/>
    </row>
    <row r="92" spans="1:32" s="16" customFormat="1" ht="12.9" customHeight="1">
      <c r="A92" s="90"/>
      <c r="B92" s="15"/>
      <c r="C92" s="15"/>
      <c r="D92" s="15"/>
      <c r="E92" s="15"/>
      <c r="F92" s="15"/>
      <c r="G92" s="15"/>
      <c r="H92" s="15"/>
      <c r="I92" s="15"/>
      <c r="J92" s="15"/>
      <c r="K92" s="15"/>
      <c r="L92" s="15"/>
      <c r="M92" s="15"/>
      <c r="N92" s="15"/>
      <c r="O92" s="15"/>
      <c r="P92" s="15"/>
      <c r="Q92" s="15"/>
      <c r="R92" s="15"/>
      <c r="S92" s="15"/>
      <c r="T92" s="15"/>
      <c r="U92" s="15"/>
      <c r="V92" s="15"/>
      <c r="W92" s="15"/>
      <c r="X92" s="15"/>
      <c r="Y92" s="15"/>
      <c r="Z92" s="15"/>
      <c r="AA92" s="15"/>
      <c r="AB92" s="15"/>
      <c r="AC92" s="15"/>
      <c r="AD92" s="15"/>
      <c r="AE92" s="15"/>
      <c r="AF92" s="15"/>
    </row>
    <row r="93" spans="1:32" s="16" customFormat="1" ht="12.9" customHeight="1">
      <c r="A93" s="90"/>
      <c r="B93" s="15"/>
      <c r="C93" s="15"/>
      <c r="D93" s="15"/>
      <c r="E93" s="15"/>
      <c r="F93" s="15"/>
      <c r="G93" s="15"/>
      <c r="H93" s="15"/>
      <c r="I93" s="15"/>
      <c r="J93" s="15"/>
      <c r="K93" s="15"/>
      <c r="L93" s="15"/>
      <c r="M93" s="15"/>
      <c r="N93" s="15"/>
      <c r="O93" s="15"/>
      <c r="P93" s="15"/>
      <c r="Q93" s="15"/>
      <c r="R93" s="15"/>
      <c r="S93" s="15"/>
      <c r="T93" s="15"/>
      <c r="U93" s="15"/>
      <c r="V93" s="15"/>
      <c r="W93" s="15"/>
      <c r="X93" s="15"/>
      <c r="Y93" s="15"/>
      <c r="Z93" s="15"/>
      <c r="AA93" s="15"/>
      <c r="AB93" s="15"/>
      <c r="AC93" s="15"/>
      <c r="AD93" s="15"/>
      <c r="AE93" s="15"/>
      <c r="AF93" s="15"/>
    </row>
    <row r="94" spans="1:32" s="16" customFormat="1" ht="12.9" customHeight="1">
      <c r="A94" s="90"/>
      <c r="B94" s="15"/>
      <c r="C94" s="15"/>
      <c r="D94" s="15"/>
      <c r="E94" s="15"/>
      <c r="F94" s="15"/>
      <c r="G94" s="15"/>
      <c r="H94" s="15"/>
      <c r="I94" s="15"/>
      <c r="J94" s="15"/>
      <c r="K94" s="15"/>
      <c r="L94" s="15"/>
      <c r="M94" s="15"/>
      <c r="N94" s="15"/>
      <c r="O94" s="15"/>
      <c r="P94" s="15"/>
      <c r="Q94" s="15"/>
      <c r="R94" s="15"/>
      <c r="S94" s="15"/>
      <c r="T94" s="15"/>
      <c r="U94" s="15"/>
      <c r="V94" s="15"/>
      <c r="W94" s="15"/>
      <c r="X94" s="15"/>
      <c r="Y94" s="15"/>
      <c r="Z94" s="15"/>
      <c r="AA94" s="15"/>
      <c r="AB94" s="15"/>
      <c r="AC94" s="15"/>
      <c r="AD94" s="15"/>
      <c r="AE94" s="15"/>
      <c r="AF94" s="15"/>
    </row>
    <row r="95" spans="1:32" s="16" customFormat="1" ht="12.9" customHeight="1">
      <c r="A95" s="90"/>
      <c r="B95" s="15"/>
      <c r="C95" s="15"/>
      <c r="D95" s="15"/>
      <c r="E95" s="15"/>
      <c r="F95" s="15"/>
      <c r="G95" s="15"/>
      <c r="H95" s="15"/>
      <c r="I95" s="15"/>
      <c r="J95" s="15"/>
      <c r="K95" s="15"/>
      <c r="L95" s="15"/>
      <c r="M95" s="15"/>
      <c r="N95" s="15"/>
      <c r="O95" s="15"/>
      <c r="P95" s="15"/>
      <c r="Q95" s="15"/>
      <c r="R95" s="15"/>
      <c r="S95" s="15"/>
      <c r="T95" s="15"/>
      <c r="U95" s="15"/>
      <c r="V95" s="15"/>
      <c r="W95" s="15"/>
      <c r="X95" s="15"/>
      <c r="Y95" s="15"/>
      <c r="Z95" s="15"/>
      <c r="AA95" s="15"/>
      <c r="AB95" s="15"/>
      <c r="AC95" s="15"/>
      <c r="AD95" s="15"/>
      <c r="AE95" s="15"/>
      <c r="AF95" s="15"/>
    </row>
    <row r="96" spans="1:32" s="16" customFormat="1" ht="12.9" customHeight="1">
      <c r="A96" s="90"/>
      <c r="B96" s="15"/>
      <c r="C96" s="15"/>
      <c r="D96" s="15"/>
      <c r="E96" s="15"/>
      <c r="F96" s="15"/>
      <c r="G96" s="15"/>
      <c r="H96" s="15"/>
      <c r="I96" s="15"/>
      <c r="J96" s="15"/>
      <c r="K96" s="15"/>
      <c r="L96" s="15"/>
      <c r="M96" s="15"/>
      <c r="N96" s="15"/>
      <c r="O96" s="15"/>
      <c r="P96" s="15"/>
      <c r="Q96" s="15"/>
      <c r="R96" s="15"/>
      <c r="S96" s="15"/>
      <c r="T96" s="15"/>
      <c r="U96" s="15"/>
      <c r="V96" s="15"/>
      <c r="W96" s="15"/>
      <c r="X96" s="15"/>
      <c r="Y96" s="15"/>
      <c r="Z96" s="15"/>
      <c r="AA96" s="15"/>
      <c r="AB96" s="15"/>
      <c r="AC96" s="15"/>
      <c r="AD96" s="15"/>
      <c r="AE96" s="15"/>
      <c r="AF96" s="15"/>
    </row>
    <row r="97" spans="1:32" s="16" customFormat="1" ht="12.9" customHeight="1">
      <c r="A97" s="90"/>
      <c r="B97" s="15"/>
      <c r="C97" s="15"/>
      <c r="D97" s="15"/>
      <c r="E97" s="15"/>
      <c r="F97" s="15"/>
      <c r="G97" s="15"/>
      <c r="H97" s="15"/>
      <c r="I97" s="15"/>
      <c r="J97" s="15"/>
      <c r="K97" s="15"/>
      <c r="L97" s="15"/>
      <c r="M97" s="15"/>
      <c r="N97" s="15"/>
      <c r="O97" s="15"/>
      <c r="P97" s="15"/>
      <c r="Q97" s="15"/>
      <c r="R97" s="15"/>
      <c r="S97" s="15"/>
      <c r="T97" s="15"/>
      <c r="U97" s="15"/>
      <c r="V97" s="15"/>
      <c r="W97" s="15"/>
      <c r="X97" s="15"/>
      <c r="Y97" s="15"/>
      <c r="Z97" s="15"/>
      <c r="AA97" s="15"/>
      <c r="AB97" s="15"/>
      <c r="AC97" s="15"/>
      <c r="AD97" s="15"/>
      <c r="AE97" s="15"/>
      <c r="AF97" s="15"/>
    </row>
    <row r="98" spans="1:32" s="16" customFormat="1" ht="12.9" customHeight="1">
      <c r="A98" s="90"/>
      <c r="B98" s="15"/>
      <c r="C98" s="15"/>
      <c r="D98" s="15"/>
      <c r="E98" s="15"/>
      <c r="F98" s="15"/>
      <c r="G98" s="15"/>
      <c r="H98" s="15"/>
      <c r="I98" s="15"/>
      <c r="J98" s="15"/>
      <c r="K98" s="15"/>
      <c r="L98" s="15"/>
      <c r="M98" s="15"/>
      <c r="N98" s="15"/>
      <c r="O98" s="15"/>
      <c r="P98" s="15"/>
      <c r="Q98" s="15"/>
      <c r="R98" s="15"/>
      <c r="S98" s="15"/>
      <c r="T98" s="15"/>
      <c r="U98" s="15"/>
      <c r="V98" s="15"/>
      <c r="W98" s="15"/>
      <c r="X98" s="15"/>
      <c r="Y98" s="15"/>
      <c r="Z98" s="15"/>
      <c r="AA98" s="15"/>
      <c r="AB98" s="15"/>
      <c r="AC98" s="15"/>
      <c r="AD98" s="15"/>
      <c r="AE98" s="15"/>
      <c r="AF98" s="15"/>
    </row>
    <row r="99" spans="1:32" s="16" customFormat="1" ht="12.9" customHeight="1">
      <c r="A99" s="90"/>
      <c r="B99" s="15"/>
      <c r="C99" s="15"/>
      <c r="D99" s="15"/>
      <c r="E99" s="15"/>
      <c r="F99" s="15"/>
      <c r="G99" s="15"/>
      <c r="H99" s="15"/>
      <c r="I99" s="15"/>
      <c r="J99" s="15"/>
      <c r="K99" s="15"/>
      <c r="L99" s="15"/>
      <c r="M99" s="15"/>
      <c r="N99" s="15"/>
      <c r="O99" s="15"/>
      <c r="P99" s="15"/>
      <c r="Q99" s="15"/>
      <c r="R99" s="15"/>
      <c r="S99" s="15"/>
      <c r="T99" s="15"/>
      <c r="U99" s="15"/>
      <c r="V99" s="15"/>
      <c r="W99" s="15"/>
      <c r="X99" s="15"/>
      <c r="Y99" s="15"/>
      <c r="Z99" s="15"/>
      <c r="AA99" s="15"/>
      <c r="AB99" s="15"/>
      <c r="AC99" s="15"/>
      <c r="AD99" s="15"/>
      <c r="AE99" s="15"/>
      <c r="AF99" s="15"/>
    </row>
    <row r="100" spans="1:32" s="16" customFormat="1" ht="12.9" customHeight="1">
      <c r="A100" s="90"/>
      <c r="B100" s="15"/>
      <c r="C100" s="15"/>
      <c r="D100" s="15"/>
      <c r="E100" s="15"/>
      <c r="F100" s="15"/>
      <c r="G100" s="15"/>
      <c r="H100" s="15"/>
      <c r="I100" s="15"/>
      <c r="J100" s="15"/>
      <c r="K100" s="15"/>
      <c r="L100" s="15"/>
      <c r="M100" s="15"/>
      <c r="N100" s="15"/>
      <c r="O100" s="15"/>
      <c r="P100" s="15"/>
      <c r="Q100" s="15"/>
      <c r="R100" s="15"/>
      <c r="S100" s="15"/>
      <c r="T100" s="15"/>
      <c r="U100" s="15"/>
      <c r="V100" s="15"/>
      <c r="W100" s="15"/>
      <c r="X100" s="15"/>
      <c r="Y100" s="15"/>
      <c r="Z100" s="15"/>
      <c r="AA100" s="15"/>
      <c r="AB100" s="15"/>
      <c r="AC100" s="15"/>
      <c r="AD100" s="15"/>
      <c r="AE100" s="15"/>
      <c r="AF100" s="15"/>
    </row>
    <row r="101" spans="1:32" s="16" customFormat="1" ht="12.9" customHeight="1">
      <c r="A101" s="90"/>
      <c r="B101" s="15"/>
      <c r="C101" s="15"/>
      <c r="D101" s="15"/>
      <c r="E101" s="15"/>
      <c r="F101" s="15"/>
      <c r="G101" s="15"/>
      <c r="H101" s="15"/>
      <c r="I101" s="15"/>
      <c r="J101" s="15"/>
      <c r="K101" s="15"/>
      <c r="L101" s="15"/>
      <c r="M101" s="15"/>
      <c r="N101" s="15"/>
      <c r="O101" s="15"/>
      <c r="P101" s="15"/>
      <c r="Q101" s="15"/>
      <c r="R101" s="15"/>
      <c r="S101" s="15"/>
      <c r="T101" s="15"/>
      <c r="U101" s="15"/>
      <c r="V101" s="15"/>
      <c r="W101" s="15"/>
      <c r="X101" s="15"/>
      <c r="Y101" s="15"/>
      <c r="Z101" s="15"/>
      <c r="AA101" s="15"/>
      <c r="AB101" s="15"/>
      <c r="AC101" s="15"/>
      <c r="AD101" s="15"/>
      <c r="AE101" s="15"/>
      <c r="AF101" s="15"/>
    </row>
    <row r="102" spans="1:32" s="16" customFormat="1" ht="12.9" customHeight="1">
      <c r="A102" s="90"/>
      <c r="B102" s="15"/>
      <c r="C102" s="15"/>
      <c r="D102" s="15"/>
      <c r="E102" s="15"/>
      <c r="F102" s="15"/>
      <c r="G102" s="15"/>
      <c r="H102" s="15"/>
      <c r="I102" s="15"/>
      <c r="J102" s="15"/>
      <c r="K102" s="15"/>
      <c r="L102" s="15"/>
      <c r="M102" s="15"/>
      <c r="N102" s="15"/>
      <c r="O102" s="15"/>
      <c r="P102" s="15"/>
      <c r="Q102" s="15"/>
      <c r="R102" s="15"/>
      <c r="S102" s="15"/>
      <c r="T102" s="15"/>
      <c r="U102" s="15"/>
      <c r="V102" s="15"/>
      <c r="W102" s="15"/>
      <c r="X102" s="15"/>
      <c r="Y102" s="15"/>
      <c r="Z102" s="15"/>
      <c r="AA102" s="15"/>
      <c r="AB102" s="15"/>
      <c r="AC102" s="15"/>
      <c r="AD102" s="15"/>
      <c r="AE102" s="15"/>
      <c r="AF102" s="15"/>
    </row>
    <row r="103" spans="1:32" s="16" customFormat="1" ht="12.9" customHeight="1">
      <c r="A103" s="90"/>
      <c r="B103" s="15"/>
      <c r="C103" s="15"/>
      <c r="D103" s="15"/>
      <c r="E103" s="15"/>
      <c r="F103" s="15"/>
      <c r="G103" s="15"/>
      <c r="H103" s="15"/>
      <c r="I103" s="15"/>
      <c r="J103" s="15"/>
      <c r="K103" s="15"/>
      <c r="L103" s="15"/>
      <c r="M103" s="15"/>
      <c r="N103" s="15"/>
      <c r="O103" s="15"/>
      <c r="P103" s="15"/>
      <c r="Q103" s="15"/>
      <c r="R103" s="15"/>
      <c r="S103" s="15"/>
      <c r="T103" s="15"/>
      <c r="U103" s="15"/>
      <c r="V103" s="15"/>
      <c r="W103" s="15"/>
      <c r="X103" s="15"/>
      <c r="Y103" s="15"/>
      <c r="Z103" s="15"/>
      <c r="AA103" s="15"/>
      <c r="AB103" s="15"/>
      <c r="AC103" s="15"/>
      <c r="AD103" s="15"/>
      <c r="AE103" s="15"/>
      <c r="AF103" s="15"/>
    </row>
    <row r="104" spans="1:32" s="16" customFormat="1" ht="12.9" customHeight="1">
      <c r="A104" s="90"/>
      <c r="B104" s="15"/>
      <c r="C104" s="15"/>
      <c r="D104" s="15"/>
      <c r="E104" s="15"/>
      <c r="F104" s="15"/>
      <c r="G104" s="15"/>
      <c r="H104" s="15"/>
      <c r="I104" s="15"/>
      <c r="J104" s="15"/>
      <c r="K104" s="15"/>
      <c r="L104" s="15"/>
      <c r="M104" s="15"/>
      <c r="N104" s="15"/>
      <c r="O104" s="15"/>
      <c r="P104" s="15"/>
      <c r="Q104" s="15"/>
      <c r="R104" s="15"/>
      <c r="S104" s="15"/>
      <c r="T104" s="15"/>
      <c r="U104" s="15"/>
      <c r="V104" s="15"/>
      <c r="W104" s="15"/>
      <c r="X104" s="15"/>
      <c r="Y104" s="15"/>
      <c r="Z104" s="15"/>
      <c r="AA104" s="15"/>
      <c r="AB104" s="15"/>
      <c r="AC104" s="15"/>
      <c r="AD104" s="15"/>
      <c r="AE104" s="15"/>
      <c r="AF104" s="15"/>
    </row>
    <row r="105" spans="1:32" s="16" customFormat="1" ht="12.9" customHeight="1">
      <c r="A105" s="90"/>
      <c r="B105" s="15"/>
      <c r="C105" s="15"/>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5"/>
      <c r="AC105" s="15"/>
      <c r="AD105" s="15"/>
      <c r="AE105" s="15"/>
      <c r="AF105" s="15"/>
    </row>
    <row r="106" spans="1:32" s="16" customFormat="1" ht="12.9" customHeight="1">
      <c r="A106" s="90"/>
      <c r="B106" s="15"/>
      <c r="C106" s="15"/>
      <c r="D106" s="15"/>
      <c r="E106" s="15"/>
      <c r="F106" s="15"/>
      <c r="G106" s="15"/>
      <c r="H106" s="15"/>
      <c r="I106" s="15"/>
      <c r="J106" s="15"/>
      <c r="K106" s="15"/>
      <c r="L106" s="15"/>
      <c r="M106" s="15"/>
      <c r="N106" s="15"/>
      <c r="O106" s="15"/>
      <c r="P106" s="15"/>
      <c r="Q106" s="15"/>
      <c r="R106" s="15"/>
      <c r="S106" s="15"/>
      <c r="T106" s="15"/>
      <c r="U106" s="15"/>
      <c r="V106" s="15"/>
      <c r="W106" s="15"/>
      <c r="X106" s="15"/>
      <c r="Y106" s="15"/>
      <c r="Z106" s="15"/>
      <c r="AA106" s="15"/>
      <c r="AB106" s="15"/>
      <c r="AC106" s="15"/>
      <c r="AD106" s="15"/>
      <c r="AE106" s="15"/>
      <c r="AF106" s="15"/>
    </row>
    <row r="107" spans="1:32" s="16" customFormat="1" ht="12.9" customHeight="1">
      <c r="A107" s="90"/>
      <c r="B107" s="15"/>
      <c r="C107" s="15"/>
      <c r="D107" s="15"/>
      <c r="E107" s="15"/>
      <c r="F107" s="15"/>
      <c r="G107" s="15"/>
      <c r="H107" s="15"/>
      <c r="I107" s="15"/>
      <c r="J107" s="15"/>
      <c r="K107" s="15"/>
      <c r="L107" s="15"/>
      <c r="M107" s="15"/>
      <c r="N107" s="15"/>
      <c r="O107" s="15"/>
      <c r="P107" s="15"/>
      <c r="Q107" s="15"/>
      <c r="R107" s="15"/>
      <c r="S107" s="15"/>
      <c r="T107" s="15"/>
      <c r="U107" s="15"/>
      <c r="V107" s="15"/>
      <c r="W107" s="15"/>
      <c r="X107" s="15"/>
      <c r="Y107" s="15"/>
      <c r="Z107" s="15"/>
      <c r="AA107" s="15"/>
      <c r="AB107" s="15"/>
      <c r="AC107" s="15"/>
      <c r="AD107" s="15"/>
      <c r="AE107" s="15"/>
      <c r="AF107" s="15"/>
    </row>
    <row r="108" spans="1:32" s="16" customFormat="1" ht="12.9" customHeight="1">
      <c r="A108" s="90"/>
      <c r="B108" s="15"/>
      <c r="C108" s="15"/>
      <c r="D108" s="15"/>
      <c r="E108" s="15"/>
      <c r="F108" s="15"/>
      <c r="G108" s="15"/>
      <c r="H108" s="15"/>
      <c r="I108" s="15"/>
      <c r="J108" s="15"/>
      <c r="K108" s="15"/>
      <c r="L108" s="15"/>
      <c r="M108" s="15"/>
      <c r="N108" s="15"/>
      <c r="O108" s="15"/>
      <c r="P108" s="15"/>
      <c r="Q108" s="15"/>
      <c r="R108" s="15"/>
      <c r="S108" s="15"/>
      <c r="T108" s="15"/>
      <c r="U108" s="15"/>
      <c r="V108" s="15"/>
      <c r="W108" s="15"/>
      <c r="X108" s="15"/>
      <c r="Y108" s="15"/>
      <c r="Z108" s="15"/>
      <c r="AA108" s="15"/>
      <c r="AB108" s="15"/>
      <c r="AC108" s="15"/>
      <c r="AD108" s="15"/>
      <c r="AE108" s="15"/>
      <c r="AF108" s="15"/>
    </row>
    <row r="109" spans="1:32" s="16" customFormat="1" ht="12.9" customHeight="1">
      <c r="A109" s="90"/>
      <c r="B109" s="15"/>
      <c r="C109" s="15"/>
      <c r="D109" s="15"/>
      <c r="E109" s="15"/>
      <c r="F109" s="15"/>
      <c r="G109" s="15"/>
      <c r="H109" s="15"/>
      <c r="I109" s="15"/>
      <c r="J109" s="15"/>
      <c r="K109" s="15"/>
      <c r="L109" s="15"/>
      <c r="M109" s="15"/>
      <c r="N109" s="15"/>
      <c r="O109" s="15"/>
      <c r="P109" s="15"/>
      <c r="Q109" s="15"/>
      <c r="R109" s="15"/>
      <c r="S109" s="15"/>
      <c r="T109" s="15"/>
      <c r="U109" s="15"/>
      <c r="V109" s="15"/>
      <c r="W109" s="15"/>
      <c r="X109" s="15"/>
      <c r="Y109" s="15"/>
      <c r="Z109" s="15"/>
      <c r="AA109" s="15"/>
      <c r="AB109" s="15"/>
      <c r="AC109" s="15"/>
      <c r="AD109" s="15"/>
      <c r="AE109" s="15"/>
      <c r="AF109" s="15"/>
    </row>
    <row r="110" spans="1:32" s="16" customFormat="1" ht="12.9" customHeight="1">
      <c r="A110" s="90"/>
      <c r="B110" s="15"/>
      <c r="C110" s="15"/>
      <c r="D110" s="15"/>
      <c r="E110" s="15"/>
      <c r="F110" s="15"/>
      <c r="G110" s="15"/>
      <c r="H110" s="15"/>
      <c r="I110" s="15"/>
      <c r="J110" s="15"/>
      <c r="K110" s="15"/>
      <c r="L110" s="15"/>
      <c r="M110" s="15"/>
      <c r="N110" s="15"/>
      <c r="O110" s="15"/>
      <c r="P110" s="15"/>
      <c r="Q110" s="15"/>
      <c r="R110" s="15"/>
      <c r="S110" s="15"/>
      <c r="T110" s="15"/>
      <c r="U110" s="15"/>
      <c r="V110" s="15"/>
      <c r="W110" s="15"/>
      <c r="X110" s="15"/>
      <c r="Y110" s="15"/>
      <c r="Z110" s="15"/>
      <c r="AA110" s="15"/>
      <c r="AB110" s="15"/>
      <c r="AC110" s="15"/>
      <c r="AD110" s="15"/>
      <c r="AE110" s="15"/>
      <c r="AF110" s="15"/>
    </row>
    <row r="111" spans="1:32" s="16" customFormat="1" ht="12.9" customHeight="1">
      <c r="A111" s="90"/>
      <c r="B111" s="15"/>
      <c r="C111" s="15"/>
      <c r="D111" s="15"/>
      <c r="E111" s="15"/>
      <c r="F111" s="15"/>
      <c r="G111" s="15"/>
      <c r="H111" s="15"/>
      <c r="I111" s="15"/>
      <c r="J111" s="15"/>
      <c r="K111" s="15"/>
      <c r="L111" s="15"/>
      <c r="M111" s="15"/>
      <c r="N111" s="15"/>
      <c r="O111" s="15"/>
      <c r="P111" s="15"/>
      <c r="Q111" s="15"/>
      <c r="R111" s="15"/>
      <c r="S111" s="15"/>
      <c r="T111" s="15"/>
      <c r="U111" s="15"/>
      <c r="V111" s="15"/>
      <c r="W111" s="15"/>
      <c r="X111" s="15"/>
      <c r="Y111" s="15"/>
      <c r="Z111" s="15"/>
      <c r="AA111" s="15"/>
      <c r="AB111" s="15"/>
      <c r="AC111" s="15"/>
      <c r="AD111" s="15"/>
      <c r="AE111" s="15"/>
      <c r="AF111" s="15"/>
    </row>
    <row r="112" spans="1:32" s="16" customFormat="1" ht="12.9" customHeight="1">
      <c r="A112" s="90"/>
      <c r="B112" s="15"/>
      <c r="C112" s="15"/>
      <c r="D112" s="15"/>
      <c r="E112" s="15"/>
      <c r="F112" s="15"/>
      <c r="G112" s="15"/>
      <c r="H112" s="15"/>
      <c r="I112" s="15"/>
      <c r="J112" s="15"/>
      <c r="K112" s="15"/>
      <c r="L112" s="15"/>
      <c r="M112" s="15"/>
      <c r="N112" s="15"/>
      <c r="O112" s="15"/>
      <c r="P112" s="15"/>
      <c r="Q112" s="15"/>
      <c r="R112" s="15"/>
      <c r="S112" s="15"/>
      <c r="T112" s="15"/>
      <c r="U112" s="15"/>
      <c r="V112" s="15"/>
      <c r="W112" s="15"/>
      <c r="X112" s="15"/>
      <c r="Y112" s="15"/>
      <c r="Z112" s="15"/>
      <c r="AA112" s="15"/>
      <c r="AB112" s="15"/>
      <c r="AC112" s="15"/>
      <c r="AD112" s="15"/>
      <c r="AE112" s="15"/>
      <c r="AF112" s="15"/>
    </row>
    <row r="113" spans="1:32" s="16" customFormat="1" ht="12.9" customHeight="1">
      <c r="A113" s="90"/>
      <c r="B113" s="15"/>
      <c r="C113" s="15"/>
      <c r="D113" s="15"/>
      <c r="E113" s="15"/>
      <c r="F113" s="15"/>
      <c r="G113" s="15"/>
      <c r="H113" s="15"/>
      <c r="I113" s="15"/>
      <c r="J113" s="15"/>
      <c r="K113" s="15"/>
      <c r="L113" s="15"/>
      <c r="M113" s="15"/>
      <c r="N113" s="15"/>
      <c r="O113" s="15"/>
      <c r="P113" s="15"/>
      <c r="Q113" s="15"/>
      <c r="R113" s="15"/>
      <c r="S113" s="15"/>
      <c r="T113" s="15"/>
      <c r="U113" s="15"/>
      <c r="V113" s="15"/>
      <c r="W113" s="15"/>
      <c r="X113" s="15"/>
      <c r="Y113" s="15"/>
      <c r="Z113" s="15"/>
      <c r="AA113" s="15"/>
      <c r="AB113" s="15"/>
      <c r="AC113" s="15"/>
      <c r="AD113" s="15"/>
      <c r="AE113" s="15"/>
      <c r="AF113" s="15"/>
    </row>
    <row r="114" spans="1:32" s="16" customFormat="1" ht="12.9" customHeight="1">
      <c r="A114" s="90"/>
      <c r="B114" s="15"/>
      <c r="C114" s="15"/>
      <c r="D114" s="15"/>
      <c r="E114" s="15"/>
      <c r="F114" s="15"/>
      <c r="G114" s="15"/>
      <c r="H114" s="15"/>
      <c r="I114" s="15"/>
      <c r="J114" s="15"/>
      <c r="K114" s="15"/>
      <c r="L114" s="15"/>
      <c r="M114" s="15"/>
      <c r="N114" s="15"/>
      <c r="O114" s="15"/>
      <c r="P114" s="15"/>
      <c r="Q114" s="15"/>
      <c r="R114" s="15"/>
      <c r="S114" s="15"/>
      <c r="T114" s="15"/>
      <c r="U114" s="15"/>
      <c r="V114" s="15"/>
      <c r="W114" s="15"/>
      <c r="X114" s="15"/>
      <c r="Y114" s="15"/>
      <c r="Z114" s="15"/>
      <c r="AA114" s="15"/>
      <c r="AB114" s="15"/>
      <c r="AC114" s="15"/>
      <c r="AD114" s="15"/>
      <c r="AE114" s="15"/>
      <c r="AF114" s="15"/>
    </row>
    <row r="115" spans="1:32" s="16" customFormat="1" ht="12.9" customHeight="1">
      <c r="A115" s="90"/>
      <c r="B115" s="15"/>
      <c r="C115" s="15"/>
      <c r="D115" s="15"/>
      <c r="E115" s="15"/>
      <c r="F115" s="15"/>
      <c r="G115" s="15"/>
      <c r="H115" s="15"/>
      <c r="I115" s="15"/>
      <c r="J115" s="15"/>
      <c r="K115" s="15"/>
      <c r="L115" s="15"/>
      <c r="M115" s="15"/>
      <c r="N115" s="15"/>
      <c r="O115" s="15"/>
      <c r="P115" s="15"/>
      <c r="Q115" s="15"/>
      <c r="R115" s="15"/>
      <c r="S115" s="15"/>
      <c r="T115" s="15"/>
      <c r="U115" s="15"/>
      <c r="V115" s="15"/>
      <c r="W115" s="15"/>
      <c r="X115" s="15"/>
      <c r="Y115" s="15"/>
      <c r="Z115" s="15"/>
      <c r="AA115" s="15"/>
      <c r="AB115" s="15"/>
      <c r="AC115" s="15"/>
      <c r="AD115" s="15"/>
      <c r="AE115" s="15"/>
      <c r="AF115" s="15"/>
    </row>
    <row r="116" spans="1:32" s="16" customFormat="1" ht="12.9" customHeight="1">
      <c r="A116" s="90"/>
      <c r="B116" s="15"/>
      <c r="C116" s="15"/>
      <c r="D116" s="15"/>
      <c r="E116" s="15"/>
      <c r="F116" s="15"/>
      <c r="G116" s="15"/>
      <c r="H116" s="15"/>
      <c r="I116" s="15"/>
      <c r="J116" s="15"/>
      <c r="K116" s="15"/>
      <c r="L116" s="15"/>
      <c r="M116" s="15"/>
      <c r="N116" s="15"/>
      <c r="O116" s="15"/>
      <c r="P116" s="15"/>
      <c r="Q116" s="15"/>
      <c r="R116" s="15"/>
      <c r="S116" s="15"/>
      <c r="T116" s="15"/>
      <c r="U116" s="15"/>
      <c r="V116" s="15"/>
      <c r="W116" s="15"/>
      <c r="X116" s="15"/>
      <c r="Y116" s="15"/>
      <c r="Z116" s="15"/>
      <c r="AA116" s="15"/>
      <c r="AB116" s="15"/>
      <c r="AC116" s="15"/>
      <c r="AD116" s="15"/>
      <c r="AE116" s="15"/>
      <c r="AF116" s="15"/>
    </row>
    <row r="117" spans="1:32" s="16" customFormat="1" ht="12.9" customHeight="1">
      <c r="A117" s="90"/>
      <c r="B117" s="15"/>
      <c r="C117" s="15"/>
      <c r="D117" s="15"/>
      <c r="E117" s="15"/>
      <c r="F117" s="15"/>
      <c r="G117" s="15"/>
      <c r="H117" s="15"/>
      <c r="I117" s="15"/>
      <c r="J117" s="15"/>
      <c r="K117" s="15"/>
      <c r="L117" s="15"/>
      <c r="M117" s="15"/>
      <c r="N117" s="15"/>
      <c r="O117" s="15"/>
      <c r="P117" s="15"/>
      <c r="Q117" s="15"/>
      <c r="R117" s="15"/>
      <c r="S117" s="15"/>
      <c r="T117" s="15"/>
      <c r="U117" s="15"/>
      <c r="V117" s="15"/>
      <c r="W117" s="15"/>
      <c r="X117" s="15"/>
      <c r="Y117" s="15"/>
      <c r="Z117" s="15"/>
      <c r="AA117" s="15"/>
      <c r="AB117" s="15"/>
      <c r="AC117" s="15"/>
      <c r="AD117" s="15"/>
      <c r="AE117" s="15"/>
      <c r="AF117" s="15"/>
    </row>
    <row r="118" spans="1:32" s="16" customFormat="1" ht="12.9" customHeight="1">
      <c r="A118" s="90"/>
      <c r="B118" s="15"/>
      <c r="C118" s="15"/>
      <c r="D118" s="15"/>
      <c r="E118" s="15"/>
      <c r="F118" s="15"/>
      <c r="G118" s="15"/>
      <c r="H118" s="15"/>
      <c r="I118" s="15"/>
      <c r="J118" s="15"/>
      <c r="K118" s="15"/>
      <c r="L118" s="15"/>
      <c r="M118" s="15"/>
      <c r="N118" s="15"/>
      <c r="O118" s="15"/>
      <c r="P118" s="15"/>
      <c r="Q118" s="15"/>
      <c r="R118" s="15"/>
      <c r="S118" s="15"/>
      <c r="T118" s="15"/>
      <c r="U118" s="15"/>
      <c r="V118" s="15"/>
      <c r="W118" s="15"/>
      <c r="X118" s="15"/>
      <c r="Y118" s="15"/>
      <c r="Z118" s="15"/>
      <c r="AA118" s="15"/>
      <c r="AB118" s="15"/>
      <c r="AC118" s="15"/>
      <c r="AD118" s="15"/>
      <c r="AE118" s="15"/>
      <c r="AF118" s="15"/>
    </row>
    <row r="119" spans="1:32" s="16" customFormat="1" ht="12.9" customHeight="1">
      <c r="A119" s="90"/>
      <c r="B119" s="15"/>
      <c r="C119" s="15"/>
      <c r="D119" s="15"/>
      <c r="E119" s="15"/>
      <c r="F119" s="15"/>
      <c r="G119" s="15"/>
      <c r="H119" s="15"/>
      <c r="I119" s="15"/>
      <c r="J119" s="15"/>
      <c r="K119" s="15"/>
      <c r="L119" s="15"/>
      <c r="M119" s="15"/>
      <c r="N119" s="15"/>
      <c r="O119" s="15"/>
      <c r="P119" s="15"/>
      <c r="Q119" s="15"/>
      <c r="R119" s="15"/>
      <c r="S119" s="15"/>
      <c r="T119" s="15"/>
      <c r="U119" s="15"/>
      <c r="V119" s="15"/>
      <c r="W119" s="15"/>
      <c r="X119" s="15"/>
      <c r="Y119" s="15"/>
      <c r="Z119" s="15"/>
      <c r="AA119" s="15"/>
      <c r="AB119" s="15"/>
      <c r="AC119" s="15"/>
      <c r="AD119" s="15"/>
      <c r="AE119" s="15"/>
      <c r="AF119" s="15"/>
    </row>
    <row r="120" spans="1:32" s="16" customFormat="1" ht="12.9" customHeight="1">
      <c r="A120" s="90"/>
      <c r="B120" s="15"/>
      <c r="C120" s="15"/>
      <c r="D120" s="15"/>
      <c r="E120" s="15"/>
      <c r="F120" s="15"/>
      <c r="G120" s="15"/>
      <c r="H120" s="15"/>
      <c r="I120" s="15"/>
      <c r="J120" s="15"/>
      <c r="K120" s="15"/>
      <c r="L120" s="15"/>
      <c r="M120" s="15"/>
      <c r="N120" s="15"/>
      <c r="O120" s="15"/>
      <c r="P120" s="15"/>
      <c r="Q120" s="15"/>
      <c r="R120" s="15"/>
      <c r="S120" s="15"/>
      <c r="T120" s="15"/>
      <c r="U120" s="15"/>
      <c r="V120" s="15"/>
      <c r="W120" s="15"/>
      <c r="X120" s="15"/>
      <c r="Y120" s="15"/>
      <c r="Z120" s="15"/>
      <c r="AA120" s="15"/>
      <c r="AB120" s="15"/>
      <c r="AC120" s="15"/>
      <c r="AD120" s="15"/>
      <c r="AE120" s="15"/>
      <c r="AF120" s="15"/>
    </row>
    <row r="121" spans="1:32" s="16" customFormat="1" ht="12.9" customHeight="1">
      <c r="A121" s="90"/>
      <c r="B121" s="15"/>
      <c r="C121" s="15"/>
      <c r="D121" s="15"/>
      <c r="E121" s="15"/>
      <c r="F121" s="15"/>
      <c r="G121" s="15"/>
      <c r="H121" s="15"/>
      <c r="I121" s="15"/>
      <c r="J121" s="15"/>
      <c r="K121" s="15"/>
      <c r="L121" s="15"/>
      <c r="M121" s="15"/>
      <c r="N121" s="15"/>
      <c r="O121" s="15"/>
      <c r="P121" s="15"/>
      <c r="Q121" s="15"/>
      <c r="R121" s="15"/>
      <c r="S121" s="15"/>
      <c r="T121" s="15"/>
      <c r="U121" s="15"/>
      <c r="V121" s="15"/>
      <c r="W121" s="15"/>
      <c r="X121" s="15"/>
      <c r="Y121" s="15"/>
      <c r="Z121" s="15"/>
      <c r="AA121" s="15"/>
      <c r="AB121" s="15"/>
      <c r="AC121" s="15"/>
      <c r="AD121" s="15"/>
      <c r="AE121" s="15"/>
      <c r="AF121" s="15"/>
    </row>
    <row r="122" spans="1:32" s="16" customFormat="1" ht="12.9" customHeight="1">
      <c r="A122" s="90"/>
      <c r="B122" s="15"/>
      <c r="C122" s="15"/>
      <c r="D122" s="15"/>
      <c r="E122" s="15"/>
      <c r="F122" s="15"/>
      <c r="G122" s="15"/>
      <c r="H122" s="15"/>
      <c r="I122" s="15"/>
      <c r="J122" s="15"/>
      <c r="K122" s="15"/>
      <c r="L122" s="15"/>
      <c r="M122" s="15"/>
      <c r="N122" s="15"/>
      <c r="O122" s="15"/>
      <c r="P122" s="15"/>
      <c r="Q122" s="15"/>
      <c r="R122" s="15"/>
      <c r="S122" s="15"/>
      <c r="T122" s="15"/>
      <c r="U122" s="15"/>
      <c r="V122" s="15"/>
      <c r="W122" s="15"/>
      <c r="X122" s="15"/>
      <c r="Y122" s="15"/>
      <c r="Z122" s="15"/>
      <c r="AA122" s="15"/>
      <c r="AB122" s="15"/>
      <c r="AC122" s="15"/>
      <c r="AD122" s="15"/>
      <c r="AE122" s="15"/>
      <c r="AF122" s="15"/>
    </row>
    <row r="123" spans="1:32" s="16" customFormat="1" ht="12.9" customHeight="1">
      <c r="A123" s="90"/>
      <c r="B123" s="15"/>
      <c r="C123" s="15"/>
      <c r="D123" s="15"/>
      <c r="E123" s="15"/>
      <c r="F123" s="15"/>
      <c r="G123" s="15"/>
      <c r="H123" s="15"/>
      <c r="I123" s="15"/>
      <c r="J123" s="15"/>
      <c r="K123" s="15"/>
      <c r="L123" s="15"/>
      <c r="M123" s="15"/>
      <c r="N123" s="15"/>
      <c r="O123" s="15"/>
      <c r="P123" s="15"/>
      <c r="Q123" s="15"/>
      <c r="R123" s="15"/>
      <c r="S123" s="15"/>
      <c r="T123" s="15"/>
      <c r="U123" s="15"/>
      <c r="V123" s="15"/>
      <c r="W123" s="15"/>
      <c r="X123" s="15"/>
      <c r="Y123" s="15"/>
      <c r="Z123" s="15"/>
      <c r="AA123" s="15"/>
      <c r="AB123" s="15"/>
      <c r="AC123" s="15"/>
      <c r="AD123" s="15"/>
      <c r="AE123" s="15"/>
      <c r="AF123" s="15"/>
    </row>
    <row r="124" spans="1:32" s="16" customFormat="1" ht="12.9" customHeight="1">
      <c r="A124" s="90"/>
      <c r="B124" s="15"/>
      <c r="C124" s="15"/>
      <c r="D124" s="15"/>
      <c r="E124" s="15"/>
      <c r="F124" s="15"/>
      <c r="G124" s="15"/>
      <c r="H124" s="15"/>
      <c r="I124" s="15"/>
      <c r="J124" s="15"/>
      <c r="K124" s="15"/>
      <c r="L124" s="15"/>
      <c r="M124" s="15"/>
      <c r="N124" s="15"/>
      <c r="O124" s="15"/>
      <c r="P124" s="15"/>
      <c r="Q124" s="15"/>
      <c r="R124" s="15"/>
      <c r="S124" s="15"/>
      <c r="T124" s="15"/>
      <c r="U124" s="15"/>
      <c r="V124" s="15"/>
      <c r="W124" s="15"/>
      <c r="X124" s="15"/>
      <c r="Y124" s="15"/>
      <c r="Z124" s="15"/>
      <c r="AA124" s="15"/>
      <c r="AB124" s="15"/>
      <c r="AC124" s="15"/>
      <c r="AD124" s="15"/>
      <c r="AE124" s="15"/>
      <c r="AF124" s="15"/>
    </row>
    <row r="125" spans="1:32" s="16" customFormat="1" ht="12.9" customHeight="1">
      <c r="A125" s="90"/>
      <c r="B125" s="15"/>
      <c r="C125" s="15"/>
      <c r="D125" s="15"/>
      <c r="E125" s="15"/>
      <c r="F125" s="15"/>
      <c r="G125" s="15"/>
      <c r="H125" s="15"/>
      <c r="I125" s="15"/>
      <c r="J125" s="15"/>
      <c r="K125" s="15"/>
      <c r="L125" s="15"/>
      <c r="M125" s="15"/>
      <c r="N125" s="15"/>
      <c r="O125" s="15"/>
      <c r="P125" s="15"/>
      <c r="Q125" s="15"/>
      <c r="R125" s="15"/>
      <c r="S125" s="15"/>
      <c r="T125" s="15"/>
      <c r="U125" s="15"/>
      <c r="V125" s="15"/>
      <c r="W125" s="15"/>
      <c r="X125" s="15"/>
      <c r="Y125" s="15"/>
      <c r="Z125" s="15"/>
      <c r="AA125" s="15"/>
      <c r="AB125" s="15"/>
      <c r="AC125" s="15"/>
      <c r="AD125" s="15"/>
      <c r="AE125" s="15"/>
      <c r="AF125" s="15"/>
    </row>
    <row r="126" spans="1:32" s="16" customFormat="1" ht="12.9" customHeight="1">
      <c r="A126" s="90"/>
      <c r="B126" s="15"/>
      <c r="C126" s="15"/>
      <c r="D126" s="15"/>
      <c r="E126" s="15"/>
      <c r="F126" s="15"/>
      <c r="G126" s="15"/>
      <c r="H126" s="15"/>
      <c r="I126" s="15"/>
      <c r="J126" s="15"/>
      <c r="K126" s="15"/>
      <c r="L126" s="15"/>
      <c r="M126" s="15"/>
      <c r="N126" s="15"/>
      <c r="O126" s="15"/>
      <c r="P126" s="15"/>
      <c r="Q126" s="15"/>
      <c r="R126" s="15"/>
      <c r="S126" s="15"/>
      <c r="T126" s="15"/>
      <c r="U126" s="15"/>
      <c r="V126" s="15"/>
      <c r="W126" s="15"/>
      <c r="X126" s="15"/>
      <c r="Y126" s="15"/>
      <c r="Z126" s="15"/>
      <c r="AA126" s="15"/>
      <c r="AB126" s="15"/>
      <c r="AC126" s="15"/>
      <c r="AD126" s="15"/>
      <c r="AE126" s="15"/>
      <c r="AF126" s="15"/>
    </row>
    <row r="127" spans="1:32" s="16" customFormat="1" ht="12.9" customHeight="1">
      <c r="A127" s="90"/>
      <c r="B127" s="15"/>
      <c r="C127" s="15"/>
      <c r="D127" s="15"/>
      <c r="E127" s="15"/>
      <c r="F127" s="15"/>
      <c r="G127" s="15"/>
      <c r="H127" s="15"/>
      <c r="I127" s="15"/>
      <c r="J127" s="15"/>
      <c r="K127" s="15"/>
      <c r="L127" s="15"/>
      <c r="M127" s="15"/>
      <c r="N127" s="15"/>
      <c r="O127" s="15"/>
      <c r="P127" s="15"/>
      <c r="Q127" s="15"/>
      <c r="R127" s="15"/>
      <c r="S127" s="15"/>
      <c r="T127" s="15"/>
      <c r="U127" s="15"/>
      <c r="V127" s="15"/>
      <c r="W127" s="15"/>
      <c r="X127" s="15"/>
      <c r="Y127" s="15"/>
      <c r="Z127" s="15"/>
      <c r="AA127" s="15"/>
      <c r="AB127" s="15"/>
      <c r="AC127" s="15"/>
      <c r="AD127" s="15"/>
      <c r="AE127" s="15"/>
      <c r="AF127" s="15"/>
    </row>
    <row r="128" spans="1:32" s="16" customFormat="1" ht="12.9" customHeight="1">
      <c r="A128" s="90"/>
      <c r="B128" s="15"/>
      <c r="C128" s="15"/>
      <c r="D128" s="15"/>
      <c r="E128" s="15"/>
      <c r="F128" s="15"/>
      <c r="G128" s="15"/>
      <c r="H128" s="15"/>
      <c r="I128" s="15"/>
      <c r="J128" s="15"/>
      <c r="K128" s="15"/>
      <c r="L128" s="15"/>
      <c r="M128" s="15"/>
      <c r="N128" s="15"/>
      <c r="O128" s="15"/>
      <c r="P128" s="15"/>
      <c r="Q128" s="15"/>
      <c r="R128" s="15"/>
      <c r="S128" s="15"/>
      <c r="T128" s="15"/>
      <c r="U128" s="15"/>
      <c r="V128" s="15"/>
      <c r="W128" s="15"/>
      <c r="X128" s="15"/>
      <c r="Y128" s="15"/>
      <c r="Z128" s="15"/>
      <c r="AA128" s="15"/>
      <c r="AB128" s="15"/>
      <c r="AC128" s="15"/>
      <c r="AD128" s="15"/>
      <c r="AE128" s="15"/>
      <c r="AF128" s="15"/>
    </row>
    <row r="129" spans="1:32" s="16" customFormat="1" ht="12.9" customHeight="1">
      <c r="A129" s="90"/>
      <c r="B129" s="15"/>
      <c r="C129" s="15"/>
      <c r="D129" s="15"/>
      <c r="E129" s="15"/>
      <c r="F129" s="15"/>
      <c r="G129" s="15"/>
      <c r="H129" s="15"/>
      <c r="I129" s="15"/>
      <c r="J129" s="15"/>
      <c r="K129" s="15"/>
      <c r="L129" s="15"/>
      <c r="M129" s="15"/>
      <c r="N129" s="15"/>
      <c r="O129" s="15"/>
      <c r="P129" s="15"/>
      <c r="Q129" s="15"/>
      <c r="R129" s="15"/>
      <c r="S129" s="15"/>
      <c r="T129" s="15"/>
      <c r="U129" s="15"/>
      <c r="V129" s="15"/>
      <c r="W129" s="15"/>
      <c r="X129" s="15"/>
      <c r="Y129" s="15"/>
      <c r="Z129" s="15"/>
      <c r="AA129" s="15"/>
      <c r="AB129" s="15"/>
      <c r="AC129" s="15"/>
      <c r="AD129" s="15"/>
      <c r="AE129" s="15"/>
      <c r="AF129" s="15"/>
    </row>
    <row r="130" spans="1:32" s="16" customFormat="1" ht="12.9" customHeight="1">
      <c r="A130" s="90"/>
      <c r="B130" s="15"/>
      <c r="C130" s="15"/>
      <c r="D130" s="15"/>
      <c r="E130" s="15"/>
      <c r="F130" s="15"/>
      <c r="G130" s="15"/>
      <c r="H130" s="15"/>
      <c r="I130" s="15"/>
      <c r="J130" s="15"/>
      <c r="K130" s="15"/>
      <c r="L130" s="15"/>
      <c r="M130" s="15"/>
      <c r="N130" s="15"/>
      <c r="O130" s="15"/>
      <c r="P130" s="15"/>
      <c r="Q130" s="15"/>
      <c r="R130" s="15"/>
      <c r="S130" s="15"/>
      <c r="T130" s="15"/>
      <c r="U130" s="15"/>
      <c r="V130" s="15"/>
      <c r="W130" s="15"/>
      <c r="X130" s="15"/>
      <c r="Y130" s="15"/>
      <c r="Z130" s="15"/>
      <c r="AA130" s="15"/>
      <c r="AB130" s="15"/>
      <c r="AC130" s="15"/>
      <c r="AD130" s="15"/>
      <c r="AE130" s="15"/>
      <c r="AF130" s="15"/>
    </row>
    <row r="131" spans="1:32" s="16" customFormat="1" ht="12.9" customHeight="1">
      <c r="A131" s="90"/>
      <c r="B131" s="15"/>
      <c r="C131" s="15"/>
      <c r="D131" s="15"/>
      <c r="E131" s="15"/>
      <c r="F131" s="15"/>
      <c r="G131" s="15"/>
      <c r="H131" s="15"/>
      <c r="I131" s="15"/>
      <c r="J131" s="15"/>
      <c r="K131" s="15"/>
      <c r="L131" s="15"/>
      <c r="M131" s="15"/>
      <c r="N131" s="15"/>
      <c r="O131" s="15"/>
      <c r="P131" s="15"/>
      <c r="Q131" s="15"/>
      <c r="R131" s="15"/>
      <c r="S131" s="15"/>
      <c r="T131" s="15"/>
      <c r="U131" s="15"/>
      <c r="V131" s="15"/>
      <c r="W131" s="15"/>
      <c r="X131" s="15"/>
      <c r="Y131" s="15"/>
      <c r="Z131" s="15"/>
      <c r="AA131" s="15"/>
      <c r="AB131" s="15"/>
      <c r="AC131" s="15"/>
      <c r="AD131" s="15"/>
      <c r="AE131" s="15"/>
      <c r="AF131" s="15"/>
    </row>
    <row r="132" spans="1:32" s="16" customFormat="1" ht="12.9" customHeight="1">
      <c r="A132" s="90"/>
      <c r="B132" s="15"/>
      <c r="C132" s="15"/>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5"/>
      <c r="AB132" s="15"/>
      <c r="AC132" s="15"/>
      <c r="AD132" s="15"/>
      <c r="AE132" s="15"/>
      <c r="AF132" s="15"/>
    </row>
    <row r="133" spans="1:32" s="16" customFormat="1" ht="12.9" customHeight="1">
      <c r="A133" s="90"/>
      <c r="B133" s="15"/>
      <c r="C133" s="15"/>
      <c r="D133" s="15"/>
      <c r="E133" s="15"/>
      <c r="F133" s="15"/>
      <c r="G133" s="15"/>
      <c r="H133" s="15"/>
      <c r="I133" s="15"/>
      <c r="J133" s="15"/>
      <c r="K133" s="15"/>
      <c r="L133" s="15"/>
      <c r="M133" s="15"/>
      <c r="N133" s="15"/>
      <c r="O133" s="15"/>
      <c r="P133" s="15"/>
      <c r="Q133" s="15"/>
      <c r="R133" s="15"/>
      <c r="S133" s="15"/>
      <c r="T133" s="15"/>
      <c r="U133" s="15"/>
      <c r="V133" s="15"/>
      <c r="W133" s="15"/>
      <c r="X133" s="15"/>
      <c r="Y133" s="15"/>
      <c r="Z133" s="15"/>
      <c r="AA133" s="15"/>
      <c r="AB133" s="15"/>
      <c r="AC133" s="15"/>
      <c r="AD133" s="15"/>
      <c r="AE133" s="15"/>
      <c r="AF133" s="15"/>
    </row>
    <row r="134" spans="1:32" s="16" customFormat="1" ht="12.9" customHeight="1">
      <c r="A134" s="90"/>
      <c r="B134" s="15"/>
      <c r="C134" s="15"/>
      <c r="D134" s="15"/>
      <c r="E134" s="15"/>
      <c r="F134" s="15"/>
      <c r="G134" s="15"/>
      <c r="H134" s="15"/>
      <c r="I134" s="15"/>
      <c r="J134" s="15"/>
      <c r="K134" s="15"/>
      <c r="L134" s="15"/>
      <c r="M134" s="15"/>
      <c r="N134" s="15"/>
      <c r="O134" s="15"/>
      <c r="P134" s="15"/>
      <c r="Q134" s="15"/>
      <c r="R134" s="15"/>
      <c r="S134" s="15"/>
      <c r="T134" s="15"/>
      <c r="U134" s="15"/>
      <c r="V134" s="15"/>
      <c r="W134" s="15"/>
      <c r="X134" s="15"/>
      <c r="Y134" s="15"/>
      <c r="Z134" s="15"/>
      <c r="AA134" s="15"/>
      <c r="AB134" s="15"/>
      <c r="AC134" s="15"/>
      <c r="AD134" s="15"/>
      <c r="AE134" s="15"/>
      <c r="AF134" s="15"/>
    </row>
    <row r="135" spans="1:32" s="16" customFormat="1" ht="12.9" customHeight="1">
      <c r="A135" s="90"/>
      <c r="B135" s="15"/>
      <c r="C135" s="15"/>
      <c r="D135" s="15"/>
      <c r="E135" s="15"/>
      <c r="F135" s="15"/>
      <c r="G135" s="15"/>
      <c r="H135" s="15"/>
      <c r="I135" s="15"/>
      <c r="J135" s="15"/>
      <c r="K135" s="15"/>
      <c r="L135" s="15"/>
      <c r="M135" s="15"/>
      <c r="N135" s="15"/>
      <c r="O135" s="15"/>
      <c r="P135" s="15"/>
      <c r="Q135" s="15"/>
      <c r="R135" s="15"/>
      <c r="S135" s="15"/>
      <c r="T135" s="15"/>
      <c r="U135" s="15"/>
      <c r="V135" s="15"/>
      <c r="W135" s="15"/>
      <c r="X135" s="15"/>
      <c r="Y135" s="15"/>
      <c r="Z135" s="15"/>
      <c r="AA135" s="15"/>
      <c r="AB135" s="15"/>
      <c r="AC135" s="15"/>
      <c r="AD135" s="15"/>
      <c r="AE135" s="15"/>
      <c r="AF135" s="15"/>
    </row>
    <row r="136" spans="1:32" s="16" customFormat="1" ht="12.9" customHeight="1">
      <c r="A136" s="90"/>
      <c r="B136" s="15"/>
      <c r="C136" s="15"/>
      <c r="D136" s="15"/>
      <c r="E136" s="15"/>
      <c r="F136" s="15"/>
      <c r="G136" s="15"/>
      <c r="H136" s="15"/>
      <c r="I136" s="15"/>
      <c r="J136" s="15"/>
      <c r="K136" s="15"/>
      <c r="L136" s="15"/>
      <c r="M136" s="15"/>
      <c r="N136" s="15"/>
      <c r="O136" s="15"/>
      <c r="P136" s="15"/>
      <c r="Q136" s="15"/>
      <c r="R136" s="15"/>
      <c r="S136" s="15"/>
      <c r="T136" s="15"/>
      <c r="U136" s="15"/>
      <c r="V136" s="15"/>
      <c r="W136" s="15"/>
      <c r="X136" s="15"/>
      <c r="Y136" s="15"/>
      <c r="Z136" s="15"/>
      <c r="AA136" s="15"/>
      <c r="AB136" s="15"/>
      <c r="AC136" s="15"/>
      <c r="AD136" s="15"/>
      <c r="AE136" s="15"/>
      <c r="AF136" s="15"/>
    </row>
    <row r="137" spans="1:32" s="16" customFormat="1" ht="12.9" customHeight="1">
      <c r="A137" s="90"/>
      <c r="B137" s="15"/>
      <c r="C137" s="15"/>
      <c r="D137" s="15"/>
      <c r="E137" s="15"/>
      <c r="F137" s="15"/>
      <c r="G137" s="15"/>
      <c r="H137" s="15"/>
      <c r="I137" s="15"/>
      <c r="J137" s="15"/>
      <c r="K137" s="15"/>
      <c r="L137" s="15"/>
      <c r="M137" s="15"/>
      <c r="N137" s="15"/>
      <c r="O137" s="15"/>
      <c r="P137" s="15"/>
      <c r="Q137" s="15"/>
      <c r="R137" s="15"/>
      <c r="S137" s="15"/>
      <c r="T137" s="15"/>
      <c r="U137" s="15"/>
      <c r="V137" s="15"/>
      <c r="W137" s="15"/>
      <c r="X137" s="15"/>
      <c r="Y137" s="15"/>
      <c r="Z137" s="15"/>
      <c r="AA137" s="15"/>
      <c r="AB137" s="15"/>
      <c r="AC137" s="15"/>
      <c r="AD137" s="15"/>
      <c r="AE137" s="15"/>
      <c r="AF137" s="15"/>
    </row>
    <row r="138" spans="1:32" s="16" customFormat="1" ht="12.9" customHeight="1">
      <c r="A138" s="90"/>
      <c r="B138" s="15"/>
      <c r="C138" s="15"/>
      <c r="D138" s="15"/>
      <c r="E138" s="15"/>
      <c r="F138" s="15"/>
      <c r="G138" s="15"/>
      <c r="H138" s="15"/>
      <c r="I138" s="15"/>
      <c r="J138" s="15"/>
      <c r="K138" s="15"/>
      <c r="L138" s="15"/>
      <c r="M138" s="15"/>
      <c r="N138" s="15"/>
      <c r="O138" s="15"/>
      <c r="P138" s="15"/>
      <c r="Q138" s="15"/>
      <c r="R138" s="15"/>
      <c r="S138" s="15"/>
      <c r="T138" s="15"/>
      <c r="U138" s="15"/>
      <c r="V138" s="15"/>
      <c r="W138" s="15"/>
      <c r="X138" s="15"/>
      <c r="Y138" s="15"/>
      <c r="Z138" s="15"/>
      <c r="AA138" s="15"/>
      <c r="AB138" s="15"/>
      <c r="AC138" s="15"/>
      <c r="AD138" s="15"/>
      <c r="AE138" s="15"/>
      <c r="AF138" s="15"/>
    </row>
    <row r="139" spans="1:32" s="16" customFormat="1" ht="12.9" customHeight="1">
      <c r="A139" s="90"/>
      <c r="B139" s="15"/>
      <c r="C139" s="15"/>
      <c r="D139" s="15"/>
      <c r="E139" s="15"/>
      <c r="F139" s="15"/>
      <c r="G139" s="15"/>
      <c r="H139" s="15"/>
      <c r="I139" s="15"/>
      <c r="J139" s="15"/>
      <c r="K139" s="15"/>
      <c r="L139" s="15"/>
      <c r="M139" s="15"/>
      <c r="N139" s="15"/>
      <c r="O139" s="15"/>
      <c r="P139" s="15"/>
      <c r="Q139" s="15"/>
      <c r="R139" s="15"/>
      <c r="S139" s="15"/>
      <c r="T139" s="15"/>
      <c r="U139" s="15"/>
      <c r="V139" s="15"/>
      <c r="W139" s="15"/>
      <c r="X139" s="15"/>
      <c r="Y139" s="15"/>
      <c r="Z139" s="15"/>
      <c r="AA139" s="15"/>
      <c r="AB139" s="15"/>
      <c r="AC139" s="15"/>
      <c r="AD139" s="15"/>
      <c r="AE139" s="15"/>
      <c r="AF139" s="15"/>
    </row>
    <row r="140" spans="1:32" s="16" customFormat="1" ht="12.9" customHeight="1">
      <c r="A140" s="90"/>
      <c r="B140" s="15"/>
      <c r="C140" s="15"/>
      <c r="D140" s="15"/>
      <c r="E140" s="15"/>
      <c r="F140" s="15"/>
      <c r="G140" s="15"/>
      <c r="H140" s="15"/>
      <c r="I140" s="15"/>
      <c r="J140" s="15"/>
      <c r="K140" s="15"/>
      <c r="L140" s="15"/>
      <c r="M140" s="15"/>
      <c r="N140" s="15"/>
      <c r="O140" s="15"/>
      <c r="P140" s="15"/>
      <c r="Q140" s="15"/>
      <c r="R140" s="15"/>
      <c r="S140" s="15"/>
      <c r="T140" s="15"/>
      <c r="U140" s="15"/>
      <c r="V140" s="15"/>
      <c r="W140" s="15"/>
      <c r="X140" s="15"/>
      <c r="Y140" s="15"/>
      <c r="Z140" s="15"/>
      <c r="AA140" s="15"/>
      <c r="AB140" s="15"/>
      <c r="AC140" s="15"/>
      <c r="AD140" s="15"/>
      <c r="AE140" s="15"/>
      <c r="AF140" s="15"/>
    </row>
    <row r="141" spans="1:32" s="16" customFormat="1" ht="12.9" customHeight="1">
      <c r="A141" s="90"/>
      <c r="B141" s="15"/>
      <c r="C141" s="15"/>
      <c r="D141" s="15"/>
      <c r="E141" s="15"/>
      <c r="F141" s="15"/>
      <c r="G141" s="15"/>
      <c r="H141" s="15"/>
      <c r="I141" s="15"/>
      <c r="J141" s="15"/>
      <c r="K141" s="15"/>
      <c r="L141" s="15"/>
      <c r="M141" s="15"/>
      <c r="N141" s="15"/>
      <c r="O141" s="15"/>
      <c r="P141" s="15"/>
      <c r="Q141" s="15"/>
      <c r="R141" s="15"/>
      <c r="S141" s="15"/>
      <c r="T141" s="15"/>
      <c r="U141" s="15"/>
      <c r="V141" s="15"/>
      <c r="W141" s="15"/>
      <c r="X141" s="15"/>
      <c r="Y141" s="15"/>
      <c r="Z141" s="15"/>
      <c r="AA141" s="15"/>
      <c r="AB141" s="15"/>
      <c r="AC141" s="15"/>
      <c r="AD141" s="15"/>
      <c r="AE141" s="15"/>
      <c r="AF141" s="15"/>
    </row>
    <row r="142" spans="1:32" s="16" customFormat="1" ht="12.9" customHeight="1">
      <c r="A142" s="90"/>
      <c r="B142" s="15"/>
      <c r="C142" s="15"/>
      <c r="D142" s="15"/>
      <c r="E142" s="15"/>
      <c r="F142" s="15"/>
      <c r="G142" s="15"/>
      <c r="H142" s="15"/>
      <c r="I142" s="15"/>
      <c r="J142" s="15"/>
      <c r="K142" s="15"/>
      <c r="L142" s="15"/>
      <c r="M142" s="15"/>
      <c r="N142" s="15"/>
      <c r="O142" s="15"/>
      <c r="P142" s="15"/>
      <c r="Q142" s="15"/>
      <c r="R142" s="15"/>
      <c r="S142" s="15"/>
      <c r="T142" s="15"/>
      <c r="U142" s="15"/>
      <c r="V142" s="15"/>
      <c r="W142" s="15"/>
      <c r="X142" s="15"/>
      <c r="Y142" s="15"/>
      <c r="Z142" s="15"/>
      <c r="AA142" s="15"/>
      <c r="AB142" s="15"/>
      <c r="AC142" s="15"/>
      <c r="AD142" s="15"/>
      <c r="AE142" s="15"/>
      <c r="AF142" s="15"/>
    </row>
    <row r="143" spans="1:32" s="16" customFormat="1" ht="12.9" customHeight="1">
      <c r="A143" s="90"/>
      <c r="B143" s="15"/>
      <c r="C143" s="15"/>
      <c r="D143" s="15"/>
      <c r="E143" s="15"/>
      <c r="F143" s="15"/>
      <c r="G143" s="15"/>
      <c r="H143" s="15"/>
      <c r="I143" s="15"/>
      <c r="J143" s="15"/>
      <c r="K143" s="15"/>
      <c r="L143" s="15"/>
      <c r="M143" s="15"/>
      <c r="N143" s="15"/>
      <c r="O143" s="15"/>
      <c r="P143" s="15"/>
      <c r="Q143" s="15"/>
      <c r="R143" s="15"/>
      <c r="S143" s="15"/>
      <c r="T143" s="15"/>
      <c r="U143" s="15"/>
      <c r="V143" s="15"/>
      <c r="W143" s="15"/>
      <c r="X143" s="15"/>
      <c r="Y143" s="15"/>
      <c r="Z143" s="15"/>
      <c r="AA143" s="15"/>
      <c r="AB143" s="15"/>
      <c r="AC143" s="15"/>
      <c r="AD143" s="15"/>
      <c r="AE143" s="15"/>
      <c r="AF143" s="15"/>
    </row>
    <row r="144" spans="1:32" s="16" customFormat="1" ht="12.9" customHeight="1">
      <c r="A144" s="90"/>
      <c r="B144" s="15"/>
      <c r="C144" s="15"/>
      <c r="D144" s="15"/>
      <c r="E144" s="15"/>
      <c r="F144" s="15"/>
      <c r="G144" s="15"/>
      <c r="H144" s="15"/>
      <c r="I144" s="15"/>
      <c r="J144" s="15"/>
      <c r="K144" s="15"/>
      <c r="L144" s="15"/>
      <c r="M144" s="15"/>
      <c r="N144" s="15"/>
      <c r="O144" s="15"/>
      <c r="P144" s="15"/>
      <c r="Q144" s="15"/>
      <c r="R144" s="15"/>
      <c r="S144" s="15"/>
      <c r="T144" s="15"/>
      <c r="U144" s="15"/>
      <c r="V144" s="15"/>
      <c r="W144" s="15"/>
      <c r="X144" s="15"/>
      <c r="Y144" s="15"/>
      <c r="Z144" s="15"/>
      <c r="AA144" s="15"/>
      <c r="AB144" s="15"/>
      <c r="AC144" s="15"/>
      <c r="AD144" s="15"/>
      <c r="AE144" s="15"/>
      <c r="AF144" s="15"/>
    </row>
    <row r="145" spans="1:32" s="16" customFormat="1" ht="12.9" customHeight="1">
      <c r="A145" s="90"/>
      <c r="B145" s="15"/>
      <c r="C145" s="15"/>
      <c r="D145" s="15"/>
      <c r="E145" s="15"/>
      <c r="F145" s="15"/>
      <c r="G145" s="15"/>
      <c r="H145" s="15"/>
      <c r="I145" s="15"/>
      <c r="J145" s="15"/>
      <c r="K145" s="15"/>
      <c r="L145" s="15"/>
      <c r="M145" s="15"/>
      <c r="N145" s="15"/>
      <c r="O145" s="15"/>
      <c r="P145" s="15"/>
      <c r="Q145" s="15"/>
      <c r="R145" s="15"/>
      <c r="S145" s="15"/>
      <c r="T145" s="15"/>
      <c r="U145" s="15"/>
      <c r="V145" s="15"/>
      <c r="W145" s="15"/>
      <c r="X145" s="15"/>
      <c r="Y145" s="15"/>
      <c r="Z145" s="15"/>
      <c r="AA145" s="15"/>
      <c r="AB145" s="15"/>
      <c r="AC145" s="15"/>
      <c r="AD145" s="15"/>
      <c r="AE145" s="15"/>
      <c r="AF145" s="15"/>
    </row>
    <row r="146" spans="1:32" s="16" customFormat="1" ht="12.9" customHeight="1">
      <c r="A146" s="90"/>
      <c r="B146" s="15"/>
      <c r="C146" s="15"/>
      <c r="D146" s="15"/>
      <c r="E146" s="15"/>
      <c r="F146" s="15"/>
      <c r="G146" s="15"/>
      <c r="H146" s="15"/>
      <c r="I146" s="15"/>
      <c r="J146" s="15"/>
      <c r="K146" s="15"/>
      <c r="L146" s="15"/>
      <c r="M146" s="15"/>
      <c r="N146" s="15"/>
      <c r="O146" s="15"/>
      <c r="P146" s="15"/>
      <c r="Q146" s="15"/>
      <c r="R146" s="15"/>
      <c r="S146" s="15"/>
      <c r="T146" s="15"/>
      <c r="U146" s="15"/>
      <c r="V146" s="15"/>
      <c r="W146" s="15"/>
      <c r="X146" s="15"/>
      <c r="Y146" s="15"/>
      <c r="Z146" s="15"/>
      <c r="AA146" s="15"/>
      <c r="AB146" s="15"/>
      <c r="AC146" s="15"/>
      <c r="AD146" s="15"/>
      <c r="AE146" s="15"/>
      <c r="AF146" s="15"/>
    </row>
    <row r="147" spans="1:32" s="16" customFormat="1" ht="12.9" customHeight="1">
      <c r="A147" s="90"/>
      <c r="B147" s="15"/>
      <c r="C147" s="15"/>
      <c r="D147" s="15"/>
      <c r="E147" s="15"/>
      <c r="F147" s="15"/>
      <c r="G147" s="15"/>
      <c r="H147" s="15"/>
      <c r="I147" s="15"/>
      <c r="J147" s="15"/>
      <c r="K147" s="15"/>
      <c r="L147" s="15"/>
      <c r="M147" s="15"/>
      <c r="N147" s="15"/>
      <c r="O147" s="15"/>
      <c r="P147" s="15"/>
      <c r="Q147" s="15"/>
      <c r="R147" s="15"/>
      <c r="S147" s="15"/>
      <c r="T147" s="15"/>
      <c r="U147" s="15"/>
      <c r="V147" s="15"/>
      <c r="W147" s="15"/>
      <c r="X147" s="15"/>
      <c r="Y147" s="15"/>
      <c r="Z147" s="15"/>
      <c r="AA147" s="15"/>
      <c r="AB147" s="15"/>
      <c r="AC147" s="15"/>
      <c r="AD147" s="15"/>
      <c r="AE147" s="15"/>
      <c r="AF147" s="15"/>
    </row>
    <row r="148" spans="1:32" s="16" customFormat="1" ht="12.9" customHeight="1">
      <c r="A148" s="90"/>
      <c r="B148" s="15"/>
      <c r="C148" s="15"/>
      <c r="D148" s="15"/>
      <c r="E148" s="15"/>
      <c r="F148" s="15"/>
      <c r="G148" s="15"/>
      <c r="H148" s="15"/>
      <c r="I148" s="15"/>
      <c r="J148" s="15"/>
      <c r="K148" s="15"/>
      <c r="L148" s="15"/>
      <c r="M148" s="15"/>
      <c r="N148" s="15"/>
      <c r="O148" s="15"/>
      <c r="P148" s="15"/>
      <c r="Q148" s="15"/>
      <c r="R148" s="15"/>
      <c r="S148" s="15"/>
      <c r="T148" s="15"/>
      <c r="U148" s="15"/>
      <c r="V148" s="15"/>
      <c r="W148" s="15"/>
      <c r="X148" s="15"/>
      <c r="Y148" s="15"/>
      <c r="Z148" s="15"/>
      <c r="AA148" s="15"/>
      <c r="AB148" s="15"/>
      <c r="AC148" s="15"/>
      <c r="AD148" s="15"/>
      <c r="AE148" s="15"/>
      <c r="AF148" s="15"/>
    </row>
    <row r="149" spans="1:32" s="16" customFormat="1" ht="12.9" customHeight="1">
      <c r="A149" s="90"/>
      <c r="B149" s="15"/>
      <c r="C149" s="15"/>
      <c r="D149" s="15"/>
      <c r="E149" s="15"/>
      <c r="F149" s="15"/>
      <c r="G149" s="15"/>
      <c r="H149" s="15"/>
      <c r="I149" s="15"/>
      <c r="J149" s="15"/>
      <c r="K149" s="15"/>
      <c r="L149" s="15"/>
      <c r="M149" s="15"/>
      <c r="N149" s="15"/>
      <c r="O149" s="15"/>
      <c r="P149" s="15"/>
      <c r="Q149" s="15"/>
      <c r="R149" s="15"/>
      <c r="S149" s="15"/>
      <c r="T149" s="15"/>
      <c r="U149" s="15"/>
      <c r="V149" s="15"/>
      <c r="W149" s="15"/>
      <c r="X149" s="15"/>
      <c r="Y149" s="15"/>
      <c r="Z149" s="15"/>
      <c r="AA149" s="15"/>
      <c r="AB149" s="15"/>
      <c r="AC149" s="15"/>
      <c r="AD149" s="15"/>
      <c r="AE149" s="15"/>
      <c r="AF149" s="15"/>
    </row>
    <row r="150" spans="1:32" s="16" customFormat="1" ht="12.9" customHeight="1">
      <c r="A150" s="90"/>
      <c r="B150" s="15"/>
      <c r="C150" s="15"/>
      <c r="D150" s="15"/>
      <c r="E150" s="15"/>
      <c r="F150" s="15"/>
      <c r="G150" s="15"/>
      <c r="H150" s="15"/>
      <c r="I150" s="15"/>
      <c r="J150" s="15"/>
      <c r="K150" s="15"/>
      <c r="L150" s="15"/>
      <c r="M150" s="15"/>
      <c r="N150" s="15"/>
      <c r="O150" s="15"/>
      <c r="P150" s="15"/>
      <c r="Q150" s="15"/>
      <c r="R150" s="15"/>
      <c r="S150" s="15"/>
      <c r="T150" s="15"/>
      <c r="U150" s="15"/>
      <c r="V150" s="15"/>
      <c r="W150" s="15"/>
      <c r="X150" s="15"/>
      <c r="Y150" s="15"/>
      <c r="Z150" s="15"/>
      <c r="AA150" s="15"/>
      <c r="AB150" s="15"/>
      <c r="AC150" s="15"/>
      <c r="AD150" s="15"/>
      <c r="AE150" s="15"/>
      <c r="AF150" s="15"/>
    </row>
    <row r="151" spans="1:32" s="16" customFormat="1" ht="12.9" customHeight="1">
      <c r="A151" s="90"/>
      <c r="B151" s="15"/>
      <c r="C151" s="15"/>
      <c r="D151" s="15"/>
      <c r="E151" s="15"/>
      <c r="F151" s="15"/>
      <c r="G151" s="15"/>
      <c r="H151" s="15"/>
      <c r="I151" s="15"/>
      <c r="J151" s="15"/>
      <c r="K151" s="15"/>
      <c r="L151" s="15"/>
      <c r="M151" s="15"/>
      <c r="N151" s="15"/>
      <c r="O151" s="15"/>
      <c r="P151" s="15"/>
      <c r="Q151" s="15"/>
      <c r="R151" s="15"/>
      <c r="S151" s="15"/>
      <c r="T151" s="15"/>
      <c r="U151" s="15"/>
      <c r="V151" s="15"/>
      <c r="W151" s="15"/>
      <c r="X151" s="15"/>
      <c r="Y151" s="15"/>
      <c r="Z151" s="15"/>
      <c r="AA151" s="15"/>
      <c r="AB151" s="15"/>
      <c r="AC151" s="15"/>
      <c r="AD151" s="15"/>
      <c r="AE151" s="15"/>
      <c r="AF151" s="15"/>
    </row>
    <row r="152" spans="1:32" s="16" customFormat="1" ht="12.9" customHeight="1">
      <c r="A152" s="90"/>
      <c r="B152" s="15"/>
      <c r="C152" s="15"/>
      <c r="D152" s="15"/>
      <c r="E152" s="15"/>
      <c r="F152" s="15"/>
      <c r="G152" s="15"/>
      <c r="H152" s="15"/>
      <c r="I152" s="15"/>
      <c r="J152" s="15"/>
      <c r="K152" s="15"/>
      <c r="L152" s="15"/>
      <c r="M152" s="15"/>
      <c r="N152" s="15"/>
      <c r="O152" s="15"/>
      <c r="P152" s="15"/>
      <c r="Q152" s="15"/>
      <c r="R152" s="15"/>
      <c r="S152" s="15"/>
      <c r="T152" s="15"/>
      <c r="U152" s="15"/>
      <c r="V152" s="15"/>
      <c r="W152" s="15"/>
      <c r="X152" s="15"/>
      <c r="Y152" s="15"/>
      <c r="Z152" s="15"/>
      <c r="AA152" s="15"/>
      <c r="AB152" s="15"/>
      <c r="AC152" s="15"/>
      <c r="AD152" s="15"/>
      <c r="AE152" s="15"/>
      <c r="AF152" s="15"/>
    </row>
    <row r="153" spans="1:32" s="16" customFormat="1" ht="12.9" customHeight="1">
      <c r="A153" s="90"/>
      <c r="B153" s="15"/>
      <c r="C153" s="15"/>
      <c r="D153" s="15"/>
      <c r="E153" s="15"/>
      <c r="F153" s="15"/>
      <c r="G153" s="15"/>
      <c r="H153" s="15"/>
      <c r="I153" s="15"/>
      <c r="J153" s="15"/>
      <c r="K153" s="15"/>
      <c r="L153" s="15"/>
      <c r="M153" s="15"/>
      <c r="N153" s="15"/>
      <c r="O153" s="15"/>
      <c r="P153" s="15"/>
      <c r="Q153" s="15"/>
      <c r="R153" s="15"/>
      <c r="S153" s="15"/>
      <c r="T153" s="15"/>
      <c r="U153" s="15"/>
      <c r="V153" s="15"/>
      <c r="W153" s="15"/>
      <c r="X153" s="15"/>
      <c r="Y153" s="15"/>
      <c r="Z153" s="15"/>
      <c r="AA153" s="15"/>
      <c r="AB153" s="15"/>
      <c r="AC153" s="15"/>
      <c r="AD153" s="15"/>
      <c r="AE153" s="15"/>
      <c r="AF153" s="15"/>
    </row>
    <row r="154" spans="1:32" s="16" customFormat="1" ht="12.9" customHeight="1">
      <c r="A154" s="90"/>
      <c r="B154" s="15"/>
      <c r="C154" s="15"/>
      <c r="D154" s="15"/>
      <c r="E154" s="15"/>
      <c r="F154" s="15"/>
      <c r="G154" s="15"/>
      <c r="H154" s="15"/>
      <c r="I154" s="15"/>
      <c r="J154" s="15"/>
      <c r="K154" s="15"/>
      <c r="L154" s="15"/>
      <c r="M154" s="15"/>
      <c r="N154" s="15"/>
      <c r="O154" s="15"/>
      <c r="P154" s="15"/>
      <c r="Q154" s="15"/>
      <c r="R154" s="15"/>
      <c r="S154" s="15"/>
      <c r="T154" s="15"/>
      <c r="U154" s="15"/>
      <c r="V154" s="15"/>
      <c r="W154" s="15"/>
      <c r="X154" s="15"/>
      <c r="Y154" s="15"/>
      <c r="Z154" s="15"/>
      <c r="AA154" s="15"/>
      <c r="AB154" s="15"/>
      <c r="AC154" s="15"/>
      <c r="AD154" s="15"/>
      <c r="AE154" s="15"/>
      <c r="AF154" s="15"/>
    </row>
    <row r="155" spans="1:32" s="16" customFormat="1" ht="12.9" customHeight="1">
      <c r="A155" s="90"/>
      <c r="B155" s="15"/>
      <c r="C155" s="15"/>
      <c r="D155" s="15"/>
      <c r="E155" s="15"/>
      <c r="F155" s="15"/>
      <c r="G155" s="15"/>
      <c r="H155" s="15"/>
      <c r="I155" s="15"/>
      <c r="J155" s="15"/>
      <c r="K155" s="15"/>
      <c r="L155" s="15"/>
      <c r="M155" s="15"/>
      <c r="N155" s="15"/>
      <c r="O155" s="15"/>
      <c r="P155" s="15"/>
      <c r="Q155" s="15"/>
      <c r="R155" s="15"/>
      <c r="S155" s="15"/>
      <c r="T155" s="15"/>
      <c r="U155" s="15"/>
      <c r="V155" s="15"/>
      <c r="W155" s="15"/>
      <c r="X155" s="15"/>
      <c r="Y155" s="15"/>
      <c r="Z155" s="15"/>
      <c r="AA155" s="15"/>
      <c r="AB155" s="15"/>
      <c r="AC155" s="15"/>
      <c r="AD155" s="15"/>
      <c r="AE155" s="15"/>
      <c r="AF155" s="15"/>
    </row>
    <row r="156" spans="1:32" s="16" customFormat="1" ht="12.9" customHeight="1">
      <c r="A156" s="90"/>
      <c r="B156" s="15"/>
      <c r="C156" s="15"/>
      <c r="D156" s="15"/>
      <c r="E156" s="15"/>
      <c r="F156" s="15"/>
      <c r="G156" s="15"/>
      <c r="H156" s="15"/>
      <c r="I156" s="15"/>
      <c r="J156" s="15"/>
      <c r="K156" s="15"/>
      <c r="L156" s="15"/>
      <c r="M156" s="15"/>
      <c r="N156" s="15"/>
      <c r="O156" s="15"/>
      <c r="P156" s="15"/>
      <c r="Q156" s="15"/>
      <c r="R156" s="15"/>
      <c r="S156" s="15"/>
      <c r="T156" s="15"/>
      <c r="U156" s="15"/>
      <c r="V156" s="15"/>
      <c r="W156" s="15"/>
      <c r="X156" s="15"/>
      <c r="Y156" s="15"/>
      <c r="Z156" s="15"/>
      <c r="AA156" s="15"/>
      <c r="AB156" s="15"/>
      <c r="AC156" s="15"/>
      <c r="AD156" s="15"/>
      <c r="AE156" s="15"/>
      <c r="AF156" s="15"/>
    </row>
    <row r="157" spans="1:32" s="16" customFormat="1" ht="12.9" customHeight="1">
      <c r="A157" s="90"/>
      <c r="B157" s="15"/>
      <c r="C157" s="15"/>
      <c r="D157" s="15"/>
      <c r="E157" s="15"/>
      <c r="F157" s="15"/>
      <c r="G157" s="15"/>
      <c r="H157" s="15"/>
      <c r="I157" s="15"/>
      <c r="J157" s="15"/>
      <c r="K157" s="15"/>
      <c r="L157" s="15"/>
      <c r="M157" s="15"/>
      <c r="N157" s="15"/>
      <c r="O157" s="15"/>
      <c r="P157" s="15"/>
      <c r="Q157" s="15"/>
      <c r="R157" s="15"/>
      <c r="S157" s="15"/>
      <c r="T157" s="15"/>
      <c r="U157" s="15"/>
      <c r="V157" s="15"/>
      <c r="W157" s="15"/>
      <c r="X157" s="15"/>
      <c r="Y157" s="15"/>
      <c r="Z157" s="15"/>
      <c r="AA157" s="15"/>
      <c r="AB157" s="15"/>
      <c r="AC157" s="15"/>
      <c r="AD157" s="15"/>
      <c r="AE157" s="15"/>
      <c r="AF157" s="15"/>
    </row>
    <row r="158" spans="1:32" s="16" customFormat="1" ht="12.9" customHeight="1">
      <c r="A158" s="90"/>
      <c r="B158" s="15"/>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c r="AA158" s="15"/>
      <c r="AB158" s="15"/>
      <c r="AC158" s="15"/>
      <c r="AD158" s="15"/>
      <c r="AE158" s="15"/>
      <c r="AF158" s="15"/>
    </row>
    <row r="159" spans="1:32" s="16" customFormat="1" ht="12.9" customHeight="1">
      <c r="A159" s="90"/>
      <c r="B159" s="15"/>
      <c r="C159" s="15"/>
      <c r="D159" s="15"/>
      <c r="E159" s="15"/>
      <c r="F159" s="15"/>
      <c r="G159" s="15"/>
      <c r="H159" s="15"/>
      <c r="I159" s="15"/>
      <c r="J159" s="15"/>
      <c r="K159" s="15"/>
      <c r="L159" s="15"/>
      <c r="M159" s="15"/>
      <c r="N159" s="15"/>
      <c r="O159" s="15"/>
      <c r="P159" s="15"/>
      <c r="Q159" s="15"/>
      <c r="R159" s="15"/>
      <c r="S159" s="15"/>
      <c r="T159" s="15"/>
      <c r="U159" s="15"/>
      <c r="V159" s="15"/>
      <c r="W159" s="15"/>
      <c r="X159" s="15"/>
      <c r="Y159" s="15"/>
      <c r="Z159" s="15"/>
      <c r="AA159" s="15"/>
      <c r="AB159" s="15"/>
      <c r="AC159" s="15"/>
      <c r="AD159" s="15"/>
      <c r="AE159" s="15"/>
      <c r="AF159" s="15"/>
    </row>
    <row r="160" spans="1:32" s="16" customFormat="1" ht="12.9" customHeight="1">
      <c r="A160" s="90"/>
      <c r="B160" s="15"/>
      <c r="C160" s="15"/>
      <c r="D160" s="15"/>
      <c r="E160" s="15"/>
      <c r="F160" s="15"/>
      <c r="G160" s="15"/>
      <c r="H160" s="15"/>
      <c r="I160" s="15"/>
      <c r="J160" s="15"/>
      <c r="K160" s="15"/>
      <c r="L160" s="15"/>
      <c r="M160" s="15"/>
      <c r="N160" s="15"/>
      <c r="O160" s="15"/>
      <c r="P160" s="15"/>
      <c r="Q160" s="15"/>
      <c r="R160" s="15"/>
      <c r="S160" s="15"/>
      <c r="T160" s="15"/>
      <c r="U160" s="15"/>
      <c r="V160" s="15"/>
      <c r="W160" s="15"/>
      <c r="X160" s="15"/>
      <c r="Y160" s="15"/>
      <c r="Z160" s="15"/>
      <c r="AA160" s="15"/>
      <c r="AB160" s="15"/>
      <c r="AC160" s="15"/>
      <c r="AD160" s="15"/>
      <c r="AE160" s="15"/>
      <c r="AF160" s="15"/>
    </row>
    <row r="161" spans="1:32" s="16" customFormat="1" ht="12.9" customHeight="1">
      <c r="A161" s="90"/>
      <c r="B161" s="15"/>
      <c r="C161" s="15"/>
      <c r="D161" s="15"/>
      <c r="E161" s="15"/>
      <c r="F161" s="15"/>
      <c r="G161" s="15"/>
      <c r="H161" s="15"/>
      <c r="I161" s="15"/>
      <c r="J161" s="15"/>
      <c r="K161" s="15"/>
      <c r="L161" s="15"/>
      <c r="M161" s="15"/>
      <c r="N161" s="15"/>
      <c r="O161" s="15"/>
      <c r="P161" s="15"/>
      <c r="Q161" s="15"/>
      <c r="R161" s="15"/>
      <c r="S161" s="15"/>
      <c r="T161" s="15"/>
      <c r="U161" s="15"/>
      <c r="V161" s="15"/>
      <c r="W161" s="15"/>
      <c r="X161" s="15"/>
      <c r="Y161" s="15"/>
      <c r="Z161" s="15"/>
      <c r="AA161" s="15"/>
      <c r="AB161" s="15"/>
      <c r="AC161" s="15"/>
      <c r="AD161" s="15"/>
      <c r="AE161" s="15"/>
      <c r="AF161" s="15"/>
    </row>
    <row r="162" spans="1:32" s="16" customFormat="1" ht="12.9" customHeight="1">
      <c r="A162" s="90"/>
      <c r="B162" s="15"/>
      <c r="C162" s="15"/>
      <c r="D162" s="15"/>
      <c r="E162" s="15"/>
      <c r="F162" s="15"/>
      <c r="G162" s="15"/>
      <c r="H162" s="15"/>
      <c r="I162" s="15"/>
      <c r="J162" s="15"/>
      <c r="K162" s="15"/>
      <c r="L162" s="15"/>
      <c r="M162" s="15"/>
      <c r="N162" s="15"/>
      <c r="O162" s="15"/>
      <c r="P162" s="15"/>
      <c r="Q162" s="15"/>
      <c r="R162" s="15"/>
      <c r="S162" s="15"/>
      <c r="T162" s="15"/>
      <c r="U162" s="15"/>
      <c r="V162" s="15"/>
      <c r="W162" s="15"/>
      <c r="X162" s="15"/>
      <c r="Y162" s="15"/>
      <c r="Z162" s="15"/>
      <c r="AA162" s="15"/>
      <c r="AB162" s="15"/>
      <c r="AC162" s="15"/>
      <c r="AD162" s="15"/>
      <c r="AE162" s="15"/>
      <c r="AF162" s="15"/>
    </row>
    <row r="163" spans="1:32" s="16" customFormat="1" ht="12.9" customHeight="1">
      <c r="A163" s="90"/>
      <c r="B163" s="15"/>
      <c r="C163" s="15"/>
      <c r="D163" s="15"/>
      <c r="E163" s="15"/>
      <c r="F163" s="15"/>
      <c r="G163" s="15"/>
      <c r="H163" s="15"/>
      <c r="I163" s="15"/>
      <c r="J163" s="15"/>
      <c r="K163" s="15"/>
      <c r="L163" s="15"/>
      <c r="M163" s="15"/>
      <c r="N163" s="15"/>
      <c r="O163" s="15"/>
      <c r="P163" s="15"/>
      <c r="Q163" s="15"/>
      <c r="R163" s="15"/>
      <c r="S163" s="15"/>
      <c r="T163" s="15"/>
      <c r="U163" s="15"/>
      <c r="V163" s="15"/>
      <c r="W163" s="15"/>
      <c r="X163" s="15"/>
      <c r="Y163" s="15"/>
      <c r="Z163" s="15"/>
      <c r="AA163" s="15"/>
      <c r="AB163" s="15"/>
      <c r="AC163" s="15"/>
      <c r="AD163" s="15"/>
      <c r="AE163" s="15"/>
      <c r="AF163" s="15"/>
    </row>
    <row r="164" spans="1:32" s="16" customFormat="1" ht="12.9" customHeight="1">
      <c r="A164" s="90"/>
      <c r="B164" s="15"/>
      <c r="C164" s="15"/>
      <c r="D164" s="15"/>
      <c r="E164" s="15"/>
      <c r="F164" s="15"/>
      <c r="G164" s="15"/>
      <c r="H164" s="15"/>
      <c r="I164" s="15"/>
      <c r="J164" s="15"/>
      <c r="K164" s="15"/>
      <c r="L164" s="15"/>
      <c r="M164" s="15"/>
      <c r="N164" s="15"/>
      <c r="O164" s="15"/>
      <c r="P164" s="15"/>
      <c r="Q164" s="15"/>
      <c r="R164" s="15"/>
      <c r="S164" s="15"/>
      <c r="T164" s="15"/>
      <c r="U164" s="15"/>
      <c r="V164" s="15"/>
      <c r="W164" s="15"/>
      <c r="X164" s="15"/>
      <c r="Y164" s="15"/>
      <c r="Z164" s="15"/>
      <c r="AA164" s="15"/>
      <c r="AB164" s="15"/>
      <c r="AC164" s="15"/>
      <c r="AD164" s="15"/>
      <c r="AE164" s="15"/>
      <c r="AF164" s="15"/>
    </row>
    <row r="165" spans="1:32" s="16" customFormat="1" ht="12.9" customHeight="1">
      <c r="A165" s="90"/>
      <c r="B165" s="15"/>
      <c r="C165" s="15"/>
      <c r="D165" s="15"/>
      <c r="E165" s="15"/>
      <c r="F165" s="15"/>
      <c r="G165" s="15"/>
      <c r="H165" s="15"/>
      <c r="I165" s="15"/>
      <c r="J165" s="15"/>
      <c r="K165" s="15"/>
      <c r="L165" s="15"/>
      <c r="M165" s="15"/>
      <c r="N165" s="15"/>
      <c r="O165" s="15"/>
      <c r="P165" s="15"/>
      <c r="Q165" s="15"/>
      <c r="R165" s="15"/>
      <c r="S165" s="15"/>
      <c r="T165" s="15"/>
      <c r="U165" s="15"/>
      <c r="V165" s="15"/>
      <c r="W165" s="15"/>
      <c r="X165" s="15"/>
      <c r="Y165" s="15"/>
      <c r="Z165" s="15"/>
      <c r="AA165" s="15"/>
      <c r="AB165" s="15"/>
      <c r="AC165" s="15"/>
      <c r="AD165" s="15"/>
      <c r="AE165" s="15"/>
      <c r="AF165" s="15"/>
    </row>
    <row r="166" spans="1:32" s="16" customFormat="1" ht="12.9" customHeight="1">
      <c r="A166" s="90"/>
      <c r="B166" s="15"/>
      <c r="C166" s="15"/>
      <c r="D166" s="15"/>
      <c r="E166" s="15"/>
      <c r="F166" s="15"/>
      <c r="G166" s="15"/>
      <c r="H166" s="15"/>
      <c r="I166" s="15"/>
      <c r="J166" s="15"/>
      <c r="K166" s="15"/>
      <c r="L166" s="15"/>
      <c r="M166" s="15"/>
      <c r="N166" s="15"/>
      <c r="O166" s="15"/>
      <c r="P166" s="15"/>
      <c r="Q166" s="15"/>
      <c r="R166" s="15"/>
      <c r="S166" s="15"/>
      <c r="T166" s="15"/>
      <c r="U166" s="15"/>
      <c r="V166" s="15"/>
      <c r="W166" s="15"/>
      <c r="X166" s="15"/>
      <c r="Y166" s="15"/>
      <c r="Z166" s="15"/>
      <c r="AA166" s="15"/>
      <c r="AB166" s="15"/>
      <c r="AC166" s="15"/>
      <c r="AD166" s="15"/>
      <c r="AE166" s="15"/>
      <c r="AF166" s="15"/>
    </row>
    <row r="167" spans="1:32" s="16" customFormat="1" ht="12.9" customHeight="1">
      <c r="A167" s="90"/>
      <c r="B167" s="15"/>
      <c r="C167" s="15"/>
      <c r="D167" s="15"/>
      <c r="E167" s="15"/>
      <c r="F167" s="15"/>
      <c r="G167" s="15"/>
      <c r="H167" s="15"/>
      <c r="I167" s="15"/>
      <c r="J167" s="15"/>
      <c r="K167" s="15"/>
      <c r="L167" s="15"/>
      <c r="M167" s="15"/>
      <c r="N167" s="15"/>
      <c r="O167" s="15"/>
      <c r="P167" s="15"/>
      <c r="Q167" s="15"/>
      <c r="R167" s="15"/>
      <c r="S167" s="15"/>
      <c r="T167" s="15"/>
      <c r="U167" s="15"/>
      <c r="V167" s="15"/>
      <c r="W167" s="15"/>
      <c r="X167" s="15"/>
      <c r="Y167" s="15"/>
      <c r="Z167" s="15"/>
      <c r="AA167" s="15"/>
      <c r="AB167" s="15"/>
      <c r="AC167" s="15"/>
      <c r="AD167" s="15"/>
      <c r="AE167" s="15"/>
      <c r="AF167" s="15"/>
    </row>
    <row r="168" spans="1:32" s="16" customFormat="1" ht="12.9" customHeight="1">
      <c r="A168" s="90"/>
      <c r="B168" s="15"/>
      <c r="C168" s="15"/>
      <c r="D168" s="15"/>
      <c r="E168" s="15"/>
      <c r="F168" s="15"/>
      <c r="G168" s="15"/>
      <c r="H168" s="15"/>
      <c r="I168" s="15"/>
      <c r="J168" s="15"/>
      <c r="K168" s="15"/>
      <c r="L168" s="15"/>
      <c r="M168" s="15"/>
      <c r="N168" s="15"/>
      <c r="O168" s="15"/>
      <c r="P168" s="15"/>
      <c r="Q168" s="15"/>
      <c r="R168" s="15"/>
      <c r="S168" s="15"/>
      <c r="T168" s="15"/>
      <c r="U168" s="15"/>
      <c r="V168" s="15"/>
      <c r="W168" s="15"/>
      <c r="X168" s="15"/>
      <c r="Y168" s="15"/>
      <c r="Z168" s="15"/>
      <c r="AA168" s="15"/>
      <c r="AB168" s="15"/>
      <c r="AC168" s="15"/>
      <c r="AD168" s="15"/>
      <c r="AE168" s="15"/>
      <c r="AF168" s="15"/>
    </row>
    <row r="169" spans="1:32" s="16" customFormat="1" ht="12.9" customHeight="1">
      <c r="A169" s="90"/>
      <c r="B169" s="15"/>
      <c r="C169" s="15"/>
      <c r="D169" s="15"/>
      <c r="E169" s="15"/>
      <c r="F169" s="15"/>
      <c r="G169" s="15"/>
      <c r="H169" s="15"/>
      <c r="I169" s="15"/>
      <c r="J169" s="15"/>
      <c r="K169" s="15"/>
      <c r="L169" s="15"/>
      <c r="M169" s="15"/>
      <c r="N169" s="15"/>
      <c r="O169" s="15"/>
      <c r="P169" s="15"/>
      <c r="Q169" s="15"/>
      <c r="R169" s="15"/>
      <c r="S169" s="15"/>
      <c r="T169" s="15"/>
      <c r="U169" s="15"/>
      <c r="V169" s="15"/>
      <c r="W169" s="15"/>
      <c r="X169" s="15"/>
      <c r="Y169" s="15"/>
      <c r="Z169" s="15"/>
      <c r="AA169" s="15"/>
      <c r="AB169" s="15"/>
      <c r="AC169" s="15"/>
      <c r="AD169" s="15"/>
      <c r="AE169" s="15"/>
      <c r="AF169" s="15"/>
    </row>
    <row r="170" spans="1:32" s="16" customFormat="1" ht="12.9" customHeight="1">
      <c r="A170" s="90"/>
      <c r="B170" s="15"/>
      <c r="C170" s="15"/>
      <c r="D170" s="15"/>
      <c r="E170" s="15"/>
      <c r="F170" s="15"/>
      <c r="G170" s="15"/>
      <c r="H170" s="15"/>
      <c r="I170" s="15"/>
      <c r="J170" s="15"/>
      <c r="K170" s="15"/>
      <c r="L170" s="15"/>
      <c r="M170" s="15"/>
      <c r="N170" s="15"/>
      <c r="O170" s="15"/>
      <c r="P170" s="15"/>
      <c r="Q170" s="15"/>
      <c r="R170" s="15"/>
      <c r="S170" s="15"/>
      <c r="T170" s="15"/>
      <c r="U170" s="15"/>
      <c r="V170" s="15"/>
      <c r="W170" s="15"/>
      <c r="X170" s="15"/>
      <c r="Y170" s="15"/>
      <c r="Z170" s="15"/>
      <c r="AA170" s="15"/>
      <c r="AB170" s="15"/>
      <c r="AC170" s="15"/>
      <c r="AD170" s="15"/>
      <c r="AE170" s="15"/>
      <c r="AF170" s="15"/>
    </row>
    <row r="171" spans="1:32" s="16" customFormat="1" ht="12.9" customHeight="1">
      <c r="A171" s="90"/>
      <c r="B171" s="15"/>
      <c r="C171" s="15"/>
      <c r="D171" s="15"/>
      <c r="E171" s="15"/>
      <c r="F171" s="15"/>
      <c r="G171" s="15"/>
      <c r="H171" s="15"/>
      <c r="I171" s="15"/>
      <c r="J171" s="15"/>
      <c r="K171" s="15"/>
      <c r="L171" s="15"/>
      <c r="M171" s="15"/>
      <c r="N171" s="15"/>
      <c r="O171" s="15"/>
      <c r="P171" s="15"/>
      <c r="Q171" s="15"/>
      <c r="R171" s="15"/>
      <c r="S171" s="15"/>
      <c r="T171" s="15"/>
      <c r="U171" s="15"/>
      <c r="V171" s="15"/>
      <c r="W171" s="15"/>
      <c r="X171" s="15"/>
      <c r="Y171" s="15"/>
      <c r="Z171" s="15"/>
      <c r="AA171" s="15"/>
      <c r="AB171" s="15"/>
      <c r="AC171" s="15"/>
      <c r="AD171" s="15"/>
      <c r="AE171" s="15"/>
      <c r="AF171" s="15"/>
    </row>
    <row r="172" spans="1:32" s="16" customFormat="1" ht="12.9" customHeight="1">
      <c r="A172" s="90"/>
      <c r="B172" s="15"/>
      <c r="C172" s="15"/>
      <c r="D172" s="15"/>
      <c r="E172" s="15"/>
      <c r="F172" s="15"/>
      <c r="G172" s="15"/>
      <c r="H172" s="15"/>
      <c r="I172" s="15"/>
      <c r="J172" s="15"/>
      <c r="K172" s="15"/>
      <c r="L172" s="15"/>
      <c r="M172" s="15"/>
      <c r="N172" s="15"/>
      <c r="O172" s="15"/>
      <c r="P172" s="15"/>
      <c r="Q172" s="15"/>
      <c r="R172" s="15"/>
      <c r="S172" s="15"/>
      <c r="T172" s="15"/>
      <c r="U172" s="15"/>
      <c r="V172" s="15"/>
      <c r="W172" s="15"/>
      <c r="X172" s="15"/>
      <c r="Y172" s="15"/>
      <c r="Z172" s="15"/>
      <c r="AA172" s="15"/>
      <c r="AB172" s="15"/>
      <c r="AC172" s="15"/>
      <c r="AD172" s="15"/>
      <c r="AE172" s="15"/>
      <c r="AF172" s="15"/>
    </row>
    <row r="173" spans="1:32" s="16" customFormat="1" ht="12.9" customHeight="1">
      <c r="A173" s="90"/>
      <c r="B173" s="15"/>
      <c r="C173" s="15"/>
      <c r="D173" s="15"/>
      <c r="E173" s="15"/>
      <c r="F173" s="15"/>
      <c r="G173" s="15"/>
      <c r="H173" s="15"/>
      <c r="I173" s="15"/>
      <c r="J173" s="15"/>
      <c r="K173" s="15"/>
      <c r="L173" s="15"/>
      <c r="M173" s="15"/>
      <c r="N173" s="15"/>
      <c r="O173" s="15"/>
      <c r="P173" s="15"/>
      <c r="Q173" s="15"/>
      <c r="R173" s="15"/>
      <c r="S173" s="15"/>
      <c r="T173" s="15"/>
      <c r="U173" s="15"/>
      <c r="V173" s="15"/>
      <c r="W173" s="15"/>
      <c r="X173" s="15"/>
      <c r="Y173" s="15"/>
      <c r="Z173" s="15"/>
      <c r="AA173" s="15"/>
      <c r="AB173" s="15"/>
      <c r="AC173" s="15"/>
      <c r="AD173" s="15"/>
      <c r="AE173" s="15"/>
      <c r="AF173" s="15"/>
    </row>
    <row r="174" spans="1:32" s="16" customFormat="1" ht="12.9" customHeight="1">
      <c r="A174" s="90"/>
      <c r="B174" s="15"/>
      <c r="C174" s="15"/>
      <c r="D174" s="15"/>
      <c r="E174" s="15"/>
      <c r="F174" s="15"/>
      <c r="G174" s="15"/>
      <c r="H174" s="15"/>
      <c r="I174" s="15"/>
      <c r="J174" s="15"/>
      <c r="K174" s="15"/>
      <c r="L174" s="15"/>
      <c r="M174" s="15"/>
      <c r="N174" s="15"/>
      <c r="O174" s="15"/>
      <c r="P174" s="15"/>
      <c r="Q174" s="15"/>
      <c r="R174" s="15"/>
      <c r="S174" s="15"/>
      <c r="T174" s="15"/>
      <c r="U174" s="15"/>
      <c r="V174" s="15"/>
      <c r="W174" s="15"/>
      <c r="X174" s="15"/>
      <c r="Y174" s="15"/>
      <c r="Z174" s="15"/>
      <c r="AA174" s="15"/>
      <c r="AB174" s="15"/>
      <c r="AC174" s="15"/>
      <c r="AD174" s="15"/>
      <c r="AE174" s="15"/>
      <c r="AF174" s="15"/>
    </row>
    <row r="175" spans="1:32" s="16" customFormat="1" ht="12.9" customHeight="1">
      <c r="A175" s="90"/>
      <c r="B175" s="15"/>
      <c r="C175" s="15"/>
      <c r="D175" s="15"/>
      <c r="E175" s="15"/>
      <c r="F175" s="15"/>
      <c r="G175" s="15"/>
      <c r="H175" s="15"/>
      <c r="I175" s="15"/>
      <c r="J175" s="15"/>
      <c r="K175" s="15"/>
      <c r="L175" s="15"/>
      <c r="M175" s="15"/>
      <c r="N175" s="15"/>
      <c r="O175" s="15"/>
      <c r="P175" s="15"/>
      <c r="Q175" s="15"/>
      <c r="R175" s="15"/>
      <c r="S175" s="15"/>
      <c r="T175" s="15"/>
      <c r="U175" s="15"/>
      <c r="V175" s="15"/>
      <c r="W175" s="15"/>
      <c r="X175" s="15"/>
      <c r="Y175" s="15"/>
      <c r="Z175" s="15"/>
      <c r="AA175" s="15"/>
      <c r="AB175" s="15"/>
      <c r="AC175" s="15"/>
      <c r="AD175" s="15"/>
      <c r="AE175" s="15"/>
      <c r="AF175" s="15"/>
    </row>
    <row r="176" spans="1:32" s="16" customFormat="1" ht="12.9" customHeight="1">
      <c r="A176" s="90"/>
      <c r="B176" s="15"/>
      <c r="C176" s="15"/>
      <c r="D176" s="15"/>
      <c r="E176" s="15"/>
      <c r="F176" s="15"/>
      <c r="G176" s="15"/>
      <c r="H176" s="15"/>
      <c r="I176" s="15"/>
      <c r="J176" s="15"/>
      <c r="K176" s="15"/>
      <c r="L176" s="15"/>
      <c r="M176" s="15"/>
      <c r="N176" s="15"/>
      <c r="O176" s="15"/>
      <c r="P176" s="15"/>
      <c r="Q176" s="15"/>
      <c r="R176" s="15"/>
      <c r="S176" s="15"/>
      <c r="T176" s="15"/>
      <c r="U176" s="15"/>
      <c r="V176" s="15"/>
      <c r="W176" s="15"/>
      <c r="X176" s="15"/>
      <c r="Y176" s="15"/>
      <c r="Z176" s="15"/>
      <c r="AA176" s="15"/>
      <c r="AB176" s="15"/>
      <c r="AC176" s="15"/>
      <c r="AD176" s="15"/>
      <c r="AE176" s="15"/>
      <c r="AF176" s="15"/>
    </row>
    <row r="177" spans="1:32" s="16" customFormat="1" ht="12.9" customHeight="1">
      <c r="A177" s="90"/>
      <c r="B177" s="15"/>
      <c r="C177" s="15"/>
      <c r="D177" s="15"/>
      <c r="E177" s="15"/>
      <c r="F177" s="15"/>
      <c r="G177" s="15"/>
      <c r="H177" s="15"/>
      <c r="I177" s="15"/>
      <c r="J177" s="15"/>
      <c r="K177" s="15"/>
      <c r="L177" s="15"/>
      <c r="M177" s="15"/>
      <c r="N177" s="15"/>
      <c r="O177" s="15"/>
      <c r="P177" s="15"/>
      <c r="Q177" s="15"/>
      <c r="R177" s="15"/>
      <c r="S177" s="15"/>
      <c r="T177" s="15"/>
      <c r="U177" s="15"/>
      <c r="V177" s="15"/>
      <c r="W177" s="15"/>
      <c r="X177" s="15"/>
      <c r="Y177" s="15"/>
      <c r="Z177" s="15"/>
      <c r="AA177" s="15"/>
      <c r="AB177" s="15"/>
      <c r="AC177" s="15"/>
      <c r="AD177" s="15"/>
      <c r="AE177" s="15"/>
      <c r="AF177" s="15"/>
    </row>
    <row r="178" spans="1:32" s="16" customFormat="1" ht="12.9" customHeight="1">
      <c r="A178" s="90"/>
      <c r="B178" s="15"/>
      <c r="C178" s="15"/>
      <c r="D178" s="15"/>
      <c r="E178" s="15"/>
      <c r="F178" s="15"/>
      <c r="G178" s="15"/>
      <c r="H178" s="15"/>
      <c r="I178" s="15"/>
      <c r="J178" s="15"/>
      <c r="K178" s="15"/>
      <c r="L178" s="15"/>
      <c r="M178" s="15"/>
      <c r="N178" s="15"/>
      <c r="O178" s="15"/>
      <c r="P178" s="15"/>
      <c r="Q178" s="15"/>
      <c r="R178" s="15"/>
      <c r="S178" s="15"/>
      <c r="T178" s="15"/>
      <c r="U178" s="15"/>
      <c r="V178" s="15"/>
      <c r="W178" s="15"/>
      <c r="X178" s="15"/>
      <c r="Y178" s="15"/>
      <c r="Z178" s="15"/>
      <c r="AA178" s="15"/>
      <c r="AB178" s="15"/>
      <c r="AC178" s="15"/>
      <c r="AD178" s="15"/>
      <c r="AE178" s="15"/>
      <c r="AF178" s="15"/>
    </row>
    <row r="179" spans="1:32" s="16" customFormat="1" ht="12.9" customHeight="1">
      <c r="A179" s="90"/>
      <c r="B179" s="15"/>
      <c r="C179" s="15"/>
      <c r="D179" s="15"/>
      <c r="E179" s="15"/>
      <c r="F179" s="15"/>
      <c r="G179" s="15"/>
      <c r="H179" s="15"/>
      <c r="I179" s="15"/>
      <c r="J179" s="15"/>
      <c r="K179" s="15"/>
      <c r="L179" s="15"/>
      <c r="M179" s="15"/>
      <c r="N179" s="15"/>
      <c r="O179" s="15"/>
      <c r="P179" s="15"/>
      <c r="Q179" s="15"/>
      <c r="R179" s="15"/>
      <c r="S179" s="15"/>
      <c r="T179" s="15"/>
      <c r="U179" s="15"/>
      <c r="V179" s="15"/>
      <c r="W179" s="15"/>
      <c r="X179" s="15"/>
      <c r="Y179" s="15"/>
      <c r="Z179" s="15"/>
      <c r="AA179" s="15"/>
      <c r="AB179" s="15"/>
      <c r="AC179" s="15"/>
      <c r="AD179" s="15"/>
      <c r="AE179" s="15"/>
      <c r="AF179" s="15"/>
    </row>
    <row r="180" spans="1:32" s="16" customFormat="1" ht="12.9" customHeight="1">
      <c r="A180" s="90"/>
      <c r="B180" s="15"/>
      <c r="C180" s="15"/>
      <c r="D180" s="15"/>
      <c r="E180" s="15"/>
      <c r="F180" s="15"/>
      <c r="G180" s="15"/>
      <c r="H180" s="15"/>
      <c r="I180" s="15"/>
      <c r="J180" s="15"/>
      <c r="K180" s="15"/>
      <c r="L180" s="15"/>
      <c r="M180" s="15"/>
      <c r="N180" s="15"/>
      <c r="O180" s="15"/>
      <c r="P180" s="15"/>
      <c r="Q180" s="15"/>
      <c r="R180" s="15"/>
      <c r="S180" s="15"/>
      <c r="T180" s="15"/>
      <c r="U180" s="15"/>
      <c r="V180" s="15"/>
      <c r="W180" s="15"/>
      <c r="X180" s="15"/>
      <c r="Y180" s="15"/>
      <c r="Z180" s="15"/>
      <c r="AA180" s="15"/>
      <c r="AB180" s="15"/>
      <c r="AC180" s="15"/>
      <c r="AD180" s="15"/>
      <c r="AE180" s="15"/>
      <c r="AF180" s="15"/>
    </row>
    <row r="181" spans="1:32" s="16" customFormat="1" ht="12.9" customHeight="1">
      <c r="A181" s="90"/>
      <c r="B181" s="15"/>
      <c r="C181" s="15"/>
      <c r="D181" s="15"/>
      <c r="E181" s="15"/>
      <c r="F181" s="15"/>
      <c r="G181" s="15"/>
      <c r="H181" s="15"/>
      <c r="I181" s="15"/>
      <c r="J181" s="15"/>
      <c r="K181" s="15"/>
      <c r="L181" s="15"/>
      <c r="M181" s="15"/>
      <c r="N181" s="15"/>
      <c r="O181" s="15"/>
      <c r="P181" s="15"/>
      <c r="Q181" s="15"/>
      <c r="R181" s="15"/>
      <c r="S181" s="15"/>
      <c r="T181" s="15"/>
      <c r="U181" s="15"/>
      <c r="V181" s="15"/>
      <c r="W181" s="15"/>
      <c r="X181" s="15"/>
      <c r="Y181" s="15"/>
      <c r="Z181" s="15"/>
      <c r="AA181" s="15"/>
      <c r="AB181" s="15"/>
      <c r="AC181" s="15"/>
      <c r="AD181" s="15"/>
      <c r="AE181" s="15"/>
      <c r="AF181" s="15"/>
    </row>
    <row r="182" spans="1:32" s="16" customFormat="1" ht="12.9" customHeight="1">
      <c r="A182" s="90"/>
      <c r="B182" s="15"/>
      <c r="C182" s="15"/>
      <c r="D182" s="15"/>
      <c r="E182" s="15"/>
      <c r="F182" s="15"/>
      <c r="G182" s="15"/>
      <c r="H182" s="15"/>
      <c r="I182" s="15"/>
      <c r="J182" s="15"/>
      <c r="K182" s="15"/>
      <c r="L182" s="15"/>
      <c r="M182" s="15"/>
      <c r="N182" s="15"/>
      <c r="O182" s="15"/>
      <c r="P182" s="15"/>
      <c r="Q182" s="15"/>
      <c r="R182" s="15"/>
      <c r="S182" s="15"/>
      <c r="T182" s="15"/>
      <c r="U182" s="15"/>
      <c r="V182" s="15"/>
      <c r="W182" s="15"/>
      <c r="X182" s="15"/>
      <c r="Y182" s="15"/>
      <c r="Z182" s="15"/>
      <c r="AA182" s="15"/>
      <c r="AB182" s="15"/>
      <c r="AC182" s="15"/>
      <c r="AD182" s="15"/>
      <c r="AE182" s="15"/>
      <c r="AF182" s="15"/>
    </row>
    <row r="183" spans="1:32" s="16" customFormat="1" ht="12.9" customHeight="1">
      <c r="A183" s="90"/>
      <c r="B183" s="15"/>
      <c r="C183" s="15"/>
      <c r="D183" s="15"/>
      <c r="E183" s="15"/>
      <c r="F183" s="15"/>
      <c r="G183" s="15"/>
      <c r="H183" s="15"/>
      <c r="I183" s="15"/>
      <c r="J183" s="15"/>
      <c r="K183" s="15"/>
      <c r="L183" s="15"/>
      <c r="M183" s="15"/>
      <c r="N183" s="15"/>
      <c r="O183" s="15"/>
      <c r="P183" s="15"/>
      <c r="Q183" s="15"/>
      <c r="R183" s="15"/>
      <c r="S183" s="15"/>
      <c r="T183" s="15"/>
      <c r="U183" s="15"/>
      <c r="V183" s="15"/>
      <c r="W183" s="15"/>
      <c r="X183" s="15"/>
      <c r="Y183" s="15"/>
      <c r="Z183" s="15"/>
      <c r="AA183" s="15"/>
      <c r="AB183" s="15"/>
      <c r="AC183" s="15"/>
      <c r="AD183" s="15"/>
      <c r="AE183" s="15"/>
      <c r="AF183" s="15"/>
    </row>
    <row r="184" spans="1:32" s="16" customFormat="1" ht="12.9" customHeight="1">
      <c r="A184" s="90"/>
      <c r="B184" s="15"/>
      <c r="C184" s="15"/>
      <c r="D184" s="15"/>
      <c r="E184" s="15"/>
      <c r="F184" s="15"/>
      <c r="G184" s="15"/>
      <c r="H184" s="15"/>
      <c r="I184" s="15"/>
      <c r="J184" s="15"/>
      <c r="K184" s="15"/>
      <c r="L184" s="15"/>
      <c r="M184" s="15"/>
      <c r="N184" s="15"/>
      <c r="O184" s="15"/>
      <c r="P184" s="15"/>
      <c r="Q184" s="15"/>
      <c r="R184" s="15"/>
      <c r="S184" s="15"/>
      <c r="T184" s="15"/>
      <c r="U184" s="15"/>
      <c r="V184" s="15"/>
      <c r="W184" s="15"/>
      <c r="X184" s="15"/>
      <c r="Y184" s="15"/>
      <c r="Z184" s="15"/>
      <c r="AA184" s="15"/>
      <c r="AB184" s="15"/>
      <c r="AC184" s="15"/>
      <c r="AD184" s="15"/>
      <c r="AE184" s="15"/>
      <c r="AF184" s="15"/>
    </row>
    <row r="185" spans="1:32" s="16" customFormat="1" ht="12.9" customHeight="1">
      <c r="A185" s="90"/>
      <c r="B185" s="15"/>
      <c r="C185" s="15"/>
      <c r="D185" s="15"/>
      <c r="E185" s="15"/>
      <c r="F185" s="15"/>
      <c r="G185" s="15"/>
      <c r="H185" s="15"/>
      <c r="I185" s="15"/>
      <c r="J185" s="15"/>
      <c r="K185" s="15"/>
      <c r="L185" s="15"/>
      <c r="M185" s="15"/>
      <c r="N185" s="15"/>
      <c r="O185" s="15"/>
      <c r="P185" s="15"/>
      <c r="Q185" s="15"/>
      <c r="R185" s="15"/>
      <c r="S185" s="15"/>
      <c r="T185" s="15"/>
      <c r="U185" s="15"/>
      <c r="V185" s="15"/>
      <c r="W185" s="15"/>
      <c r="X185" s="15"/>
      <c r="Y185" s="15"/>
      <c r="Z185" s="15"/>
      <c r="AA185" s="15"/>
      <c r="AB185" s="15"/>
      <c r="AC185" s="15"/>
      <c r="AD185" s="15"/>
      <c r="AE185" s="15"/>
      <c r="AF185" s="15"/>
    </row>
    <row r="186" spans="1:32" s="16" customFormat="1" ht="12.9" customHeight="1">
      <c r="A186" s="90"/>
      <c r="B186" s="15"/>
      <c r="C186" s="15"/>
      <c r="D186" s="15"/>
      <c r="E186" s="15"/>
      <c r="F186" s="15"/>
      <c r="G186" s="15"/>
      <c r="H186" s="15"/>
      <c r="I186" s="15"/>
      <c r="J186" s="15"/>
      <c r="K186" s="15"/>
      <c r="L186" s="15"/>
      <c r="M186" s="15"/>
      <c r="N186" s="15"/>
      <c r="O186" s="15"/>
      <c r="P186" s="15"/>
      <c r="Q186" s="15"/>
      <c r="R186" s="15"/>
      <c r="S186" s="15"/>
      <c r="T186" s="15"/>
      <c r="U186" s="15"/>
      <c r="V186" s="15"/>
      <c r="W186" s="15"/>
      <c r="X186" s="15"/>
      <c r="Y186" s="15"/>
      <c r="Z186" s="15"/>
      <c r="AA186" s="15"/>
      <c r="AB186" s="15"/>
      <c r="AC186" s="15"/>
      <c r="AD186" s="15"/>
      <c r="AE186" s="15"/>
      <c r="AF186" s="15"/>
    </row>
    <row r="187" spans="1:32" s="16" customFormat="1" ht="12.9" customHeight="1">
      <c r="A187" s="90"/>
      <c r="B187" s="15"/>
      <c r="C187" s="15"/>
      <c r="D187" s="15"/>
      <c r="E187" s="15"/>
      <c r="F187" s="15"/>
      <c r="G187" s="15"/>
      <c r="H187" s="15"/>
      <c r="I187" s="15"/>
      <c r="J187" s="15"/>
      <c r="K187" s="15"/>
      <c r="L187" s="15"/>
      <c r="M187" s="15"/>
      <c r="N187" s="15"/>
      <c r="O187" s="15"/>
      <c r="P187" s="15"/>
      <c r="Q187" s="15"/>
      <c r="R187" s="15"/>
      <c r="S187" s="15"/>
      <c r="T187" s="15"/>
      <c r="U187" s="15"/>
      <c r="V187" s="15"/>
      <c r="W187" s="15"/>
      <c r="X187" s="15"/>
      <c r="Y187" s="15"/>
      <c r="Z187" s="15"/>
      <c r="AA187" s="15"/>
      <c r="AB187" s="15"/>
      <c r="AC187" s="15"/>
      <c r="AD187" s="15"/>
      <c r="AE187" s="15"/>
      <c r="AF187" s="15"/>
    </row>
    <row r="188" spans="1:32" s="16" customFormat="1" ht="12.9" customHeight="1">
      <c r="A188" s="90"/>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row>
    <row r="189" spans="1:32" s="16" customFormat="1" ht="12.9" customHeight="1">
      <c r="A189" s="90"/>
      <c r="B189" s="15"/>
      <c r="C189" s="15"/>
      <c r="D189" s="15"/>
      <c r="E189" s="15"/>
      <c r="F189" s="15"/>
      <c r="G189" s="15"/>
      <c r="H189" s="15"/>
      <c r="I189" s="15"/>
      <c r="J189" s="15"/>
      <c r="K189" s="15"/>
      <c r="L189" s="15"/>
      <c r="M189" s="15"/>
      <c r="N189" s="15"/>
      <c r="O189" s="15"/>
      <c r="P189" s="15"/>
      <c r="Q189" s="15"/>
      <c r="R189" s="15"/>
      <c r="S189" s="15"/>
      <c r="T189" s="15"/>
      <c r="U189" s="15"/>
      <c r="V189" s="15"/>
      <c r="W189" s="15"/>
      <c r="X189" s="15"/>
      <c r="Y189" s="15"/>
      <c r="Z189" s="15"/>
      <c r="AA189" s="15"/>
      <c r="AB189" s="15"/>
      <c r="AC189" s="15"/>
      <c r="AD189" s="15"/>
      <c r="AE189" s="15"/>
      <c r="AF189" s="15"/>
    </row>
    <row r="190" spans="1:32" s="16" customFormat="1" ht="12.9" customHeight="1">
      <c r="A190" s="90"/>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5"/>
    </row>
    <row r="191" spans="1:32" s="16" customFormat="1" ht="12.9" customHeight="1">
      <c r="A191" s="90"/>
      <c r="B191" s="15"/>
      <c r="C191" s="15"/>
      <c r="D191" s="15"/>
      <c r="E191" s="15"/>
      <c r="F191" s="15"/>
      <c r="G191" s="15"/>
      <c r="H191" s="15"/>
      <c r="I191" s="15"/>
      <c r="J191" s="15"/>
      <c r="K191" s="15"/>
      <c r="L191" s="15"/>
      <c r="M191" s="15"/>
      <c r="N191" s="15"/>
      <c r="O191" s="15"/>
      <c r="P191" s="15"/>
      <c r="Q191" s="15"/>
      <c r="R191" s="15"/>
      <c r="S191" s="15"/>
      <c r="T191" s="15"/>
      <c r="U191" s="15"/>
      <c r="V191" s="15"/>
      <c r="W191" s="15"/>
      <c r="X191" s="15"/>
      <c r="Y191" s="15"/>
      <c r="Z191" s="15"/>
      <c r="AA191" s="15"/>
      <c r="AB191" s="15"/>
      <c r="AC191" s="15"/>
      <c r="AD191" s="15"/>
      <c r="AE191" s="15"/>
      <c r="AF191" s="15"/>
    </row>
    <row r="192" spans="1:32" s="16" customFormat="1" ht="12.9" customHeight="1">
      <c r="A192" s="90"/>
      <c r="B192" s="15"/>
      <c r="C192" s="15"/>
      <c r="D192" s="15"/>
      <c r="E192" s="15"/>
      <c r="F192" s="15"/>
      <c r="G192" s="15"/>
      <c r="H192" s="15"/>
      <c r="I192" s="15"/>
      <c r="J192" s="15"/>
      <c r="K192" s="15"/>
      <c r="L192" s="15"/>
      <c r="M192" s="15"/>
      <c r="N192" s="15"/>
      <c r="O192" s="15"/>
      <c r="P192" s="15"/>
      <c r="Q192" s="15"/>
      <c r="R192" s="15"/>
      <c r="S192" s="15"/>
      <c r="T192" s="15"/>
      <c r="U192" s="15"/>
      <c r="V192" s="15"/>
      <c r="W192" s="15"/>
      <c r="X192" s="15"/>
      <c r="Y192" s="15"/>
      <c r="Z192" s="15"/>
      <c r="AA192" s="15"/>
      <c r="AB192" s="15"/>
      <c r="AC192" s="15"/>
      <c r="AD192" s="15"/>
      <c r="AE192" s="15"/>
      <c r="AF192" s="15"/>
    </row>
    <row r="193" spans="1:32" s="16" customFormat="1" ht="12.9" customHeight="1">
      <c r="A193" s="90"/>
      <c r="B193" s="15"/>
      <c r="C193" s="15"/>
      <c r="D193" s="15"/>
      <c r="E193" s="15"/>
      <c r="F193" s="15"/>
      <c r="G193" s="15"/>
      <c r="H193" s="15"/>
      <c r="I193" s="15"/>
      <c r="J193" s="15"/>
      <c r="K193" s="15"/>
      <c r="L193" s="15"/>
      <c r="M193" s="15"/>
      <c r="N193" s="15"/>
      <c r="O193" s="15"/>
      <c r="P193" s="15"/>
      <c r="Q193" s="15"/>
      <c r="R193" s="15"/>
      <c r="S193" s="15"/>
      <c r="T193" s="15"/>
      <c r="U193" s="15"/>
      <c r="V193" s="15"/>
      <c r="W193" s="15"/>
      <c r="X193" s="15"/>
      <c r="Y193" s="15"/>
      <c r="Z193" s="15"/>
      <c r="AA193" s="15"/>
      <c r="AB193" s="15"/>
      <c r="AC193" s="15"/>
      <c r="AD193" s="15"/>
      <c r="AE193" s="15"/>
      <c r="AF193" s="15"/>
    </row>
    <row r="194" spans="1:32" s="16" customFormat="1" ht="12.9" customHeight="1">
      <c r="A194" s="90"/>
      <c r="B194" s="15"/>
      <c r="C194" s="15"/>
      <c r="D194" s="15"/>
      <c r="E194" s="15"/>
      <c r="F194" s="15"/>
      <c r="G194" s="15"/>
      <c r="H194" s="15"/>
      <c r="I194" s="15"/>
      <c r="J194" s="15"/>
      <c r="K194" s="15"/>
      <c r="L194" s="15"/>
      <c r="M194" s="15"/>
      <c r="N194" s="15"/>
      <c r="O194" s="15"/>
      <c r="P194" s="15"/>
      <c r="Q194" s="15"/>
      <c r="R194" s="15"/>
      <c r="S194" s="15"/>
      <c r="T194" s="15"/>
      <c r="U194" s="15"/>
      <c r="V194" s="15"/>
      <c r="W194" s="15"/>
      <c r="X194" s="15"/>
      <c r="Y194" s="15"/>
      <c r="Z194" s="15"/>
      <c r="AA194" s="15"/>
      <c r="AB194" s="15"/>
      <c r="AC194" s="15"/>
      <c r="AD194" s="15"/>
      <c r="AE194" s="15"/>
      <c r="AF194" s="15"/>
    </row>
    <row r="195" spans="1:32" s="16" customFormat="1" ht="12.9" customHeight="1">
      <c r="A195" s="90"/>
      <c r="B195" s="15"/>
      <c r="C195" s="15"/>
      <c r="D195" s="15"/>
      <c r="E195" s="15"/>
      <c r="F195" s="15"/>
      <c r="G195" s="15"/>
      <c r="H195" s="15"/>
      <c r="I195" s="15"/>
      <c r="J195" s="15"/>
      <c r="K195" s="15"/>
      <c r="L195" s="15"/>
      <c r="M195" s="15"/>
      <c r="N195" s="15"/>
      <c r="O195" s="15"/>
      <c r="P195" s="15"/>
      <c r="Q195" s="15"/>
      <c r="R195" s="15"/>
      <c r="S195" s="15"/>
      <c r="T195" s="15"/>
      <c r="U195" s="15"/>
      <c r="V195" s="15"/>
      <c r="W195" s="15"/>
      <c r="X195" s="15"/>
      <c r="Y195" s="15"/>
      <c r="Z195" s="15"/>
      <c r="AA195" s="15"/>
      <c r="AB195" s="15"/>
      <c r="AC195" s="15"/>
      <c r="AD195" s="15"/>
      <c r="AE195" s="15"/>
      <c r="AF195" s="15"/>
    </row>
    <row r="196" spans="1:32" s="16" customFormat="1" ht="12.9" customHeight="1">
      <c r="A196" s="90"/>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15"/>
      <c r="AF196" s="15"/>
    </row>
    <row r="197" spans="1:32" s="16" customFormat="1" ht="12.9" customHeight="1">
      <c r="A197" s="90"/>
      <c r="B197" s="15"/>
      <c r="C197" s="15"/>
      <c r="D197" s="15"/>
      <c r="E197" s="15"/>
      <c r="F197" s="15"/>
      <c r="G197" s="15"/>
      <c r="H197" s="15"/>
      <c r="I197" s="15"/>
      <c r="J197" s="15"/>
      <c r="K197" s="15"/>
      <c r="L197" s="15"/>
      <c r="M197" s="15"/>
      <c r="N197" s="15"/>
      <c r="O197" s="15"/>
      <c r="P197" s="15"/>
      <c r="Q197" s="15"/>
      <c r="R197" s="15"/>
      <c r="S197" s="15"/>
      <c r="T197" s="15"/>
      <c r="U197" s="15"/>
      <c r="V197" s="15"/>
      <c r="W197" s="15"/>
      <c r="X197" s="15"/>
      <c r="Y197" s="15"/>
      <c r="Z197" s="15"/>
      <c r="AA197" s="15"/>
      <c r="AB197" s="15"/>
      <c r="AC197" s="15"/>
      <c r="AD197" s="15"/>
      <c r="AE197" s="15"/>
      <c r="AF197" s="15"/>
    </row>
    <row r="198" spans="1:32" s="16" customFormat="1" ht="12.9" customHeight="1">
      <c r="A198" s="90"/>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row>
    <row r="199" spans="1:32" s="16" customFormat="1" ht="12.9" customHeight="1">
      <c r="A199" s="90"/>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row>
    <row r="200" spans="1:32" s="16" customFormat="1" ht="12.9" customHeight="1">
      <c r="A200" s="90"/>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row>
    <row r="201" spans="1:32" s="16" customFormat="1" ht="12.9" customHeight="1">
      <c r="A201" s="90"/>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row>
    <row r="202" spans="1:32" s="16" customFormat="1" ht="12.9" customHeight="1">
      <c r="A202" s="90"/>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row>
    <row r="203" spans="1:32" s="16" customFormat="1" ht="12.9" customHeight="1">
      <c r="A203" s="90"/>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row>
    <row r="204" spans="1:32" s="16" customFormat="1" ht="12.9" customHeight="1">
      <c r="A204" s="90"/>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row>
    <row r="205" spans="1:32" s="16" customFormat="1" ht="12.9" customHeight="1">
      <c r="A205" s="90"/>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row>
    <row r="206" spans="1:32" s="16" customFormat="1" ht="12.9" customHeight="1">
      <c r="A206" s="90"/>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row>
    <row r="207" spans="1:32" s="16" customFormat="1" ht="12.9" customHeight="1">
      <c r="A207" s="90"/>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row>
    <row r="208" spans="1:32" s="16" customFormat="1" ht="12.9" customHeight="1">
      <c r="A208" s="90"/>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row>
    <row r="209" spans="1:32" s="16" customFormat="1" ht="12.9" customHeight="1">
      <c r="A209" s="90"/>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row>
    <row r="210" spans="1:32" s="16" customFormat="1" ht="12.9" customHeight="1">
      <c r="A210" s="90"/>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row>
    <row r="211" spans="1:32" s="16" customFormat="1" ht="12.9" customHeight="1">
      <c r="A211" s="90"/>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row>
    <row r="212" spans="1:32" s="16" customFormat="1" ht="12.9" customHeight="1">
      <c r="A212" s="90"/>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row>
    <row r="213" spans="1:32" s="16" customFormat="1" ht="12.9" customHeight="1">
      <c r="A213" s="90"/>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row>
    <row r="214" spans="1:32" s="16" customFormat="1" ht="12.9" customHeight="1">
      <c r="A214" s="90"/>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row>
    <row r="215" spans="1:32" s="16" customFormat="1" ht="12.9" customHeight="1">
      <c r="A215" s="90"/>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row>
    <row r="216" spans="1:32" s="16" customFormat="1" ht="12.9" customHeight="1">
      <c r="A216" s="90"/>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row>
    <row r="217" spans="1:32" s="16" customFormat="1" ht="12.9" customHeight="1">
      <c r="A217" s="90"/>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row>
    <row r="218" spans="1:32" s="16" customFormat="1" ht="12.9" customHeight="1">
      <c r="A218" s="90"/>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row>
    <row r="219" spans="1:32" s="16" customFormat="1" ht="12.9" customHeight="1">
      <c r="A219" s="90"/>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row>
    <row r="220" spans="1:32" s="16" customFormat="1" ht="12.9" customHeight="1">
      <c r="A220" s="90"/>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row>
    <row r="221" spans="1:32" s="16" customFormat="1" ht="12.9" customHeight="1">
      <c r="A221" s="90"/>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row>
    <row r="222" spans="1:32" s="16" customFormat="1" ht="12.9" customHeight="1">
      <c r="A222" s="90"/>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row>
    <row r="223" spans="1:32" s="16" customFormat="1" ht="12.9" customHeight="1">
      <c r="A223" s="90"/>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row>
    <row r="224" spans="1:32" s="16" customFormat="1" ht="12.9" customHeight="1">
      <c r="A224" s="90"/>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row>
    <row r="225" spans="1:32" s="16" customFormat="1" ht="12.9" customHeight="1">
      <c r="A225" s="90"/>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row>
    <row r="226" spans="1:32" s="16" customFormat="1" ht="12.9" customHeight="1">
      <c r="A226" s="90"/>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row>
    <row r="227" spans="1:32" s="16" customFormat="1" ht="12.9" customHeight="1">
      <c r="A227" s="90"/>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row>
    <row r="228" spans="1:32" s="16" customFormat="1" ht="12.9" customHeight="1">
      <c r="A228" s="90"/>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row>
    <row r="229" spans="1:32" s="16" customFormat="1" ht="12.9" customHeight="1">
      <c r="A229" s="90"/>
      <c r="B229" s="15"/>
      <c r="C229" s="15"/>
      <c r="D229" s="15"/>
      <c r="E229" s="15"/>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row>
    <row r="230" spans="1:32" s="16" customFormat="1" ht="12.9" customHeight="1">
      <c r="A230" s="90"/>
      <c r="B230" s="15"/>
      <c r="C230" s="15"/>
      <c r="D230" s="15"/>
      <c r="E230" s="15"/>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row>
    <row r="231" spans="1:32" s="16" customFormat="1" ht="12.9" customHeight="1">
      <c r="A231" s="90"/>
      <c r="B231" s="15"/>
      <c r="C231" s="15"/>
      <c r="D231" s="15"/>
      <c r="E231" s="15"/>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row>
    <row r="232" spans="1:32" s="16" customFormat="1" ht="12.9" customHeight="1">
      <c r="A232" s="90"/>
      <c r="B232" s="15"/>
      <c r="C232" s="15"/>
      <c r="D232" s="15"/>
      <c r="E232" s="15"/>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row>
    <row r="233" spans="1:32" s="16" customFormat="1" ht="12.9" customHeight="1">
      <c r="A233" s="90"/>
      <c r="B233" s="15"/>
      <c r="C233" s="15"/>
      <c r="D233" s="15"/>
      <c r="E233" s="15"/>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row>
    <row r="234" spans="1:32" s="16" customFormat="1" ht="12.9" customHeight="1">
      <c r="A234" s="90"/>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row>
    <row r="235" spans="1:32" s="16" customFormat="1" ht="12.9" customHeight="1">
      <c r="A235" s="90"/>
      <c r="B235" s="15"/>
      <c r="C235" s="15"/>
      <c r="D235" s="15"/>
      <c r="E235" s="15"/>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row>
    <row r="236" spans="1:32" s="16" customFormat="1" ht="12.9" customHeight="1">
      <c r="A236" s="90"/>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row>
    <row r="237" spans="1:32" s="16" customFormat="1" ht="12.9" customHeight="1">
      <c r="A237" s="90"/>
      <c r="B237" s="15"/>
      <c r="C237" s="15"/>
      <c r="D237" s="15"/>
      <c r="E237" s="15"/>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row>
    <row r="238" spans="1:32" s="16" customFormat="1" ht="12.9" customHeight="1">
      <c r="A238" s="90"/>
      <c r="B238" s="15"/>
      <c r="C238" s="15"/>
      <c r="D238" s="15"/>
      <c r="E238" s="15"/>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row>
    <row r="239" spans="1:32" s="16" customFormat="1" ht="12.9" customHeight="1">
      <c r="A239" s="90"/>
      <c r="B239" s="15"/>
      <c r="C239" s="15"/>
      <c r="D239" s="15"/>
      <c r="E239" s="15"/>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row>
    <row r="240" spans="1:32" s="16" customFormat="1" ht="12.9" customHeight="1">
      <c r="A240" s="90"/>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row>
    <row r="241" spans="1:32" s="16" customFormat="1" ht="12.9" customHeight="1">
      <c r="A241" s="90"/>
      <c r="B241" s="15"/>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row>
    <row r="242" spans="1:32" s="16" customFormat="1" ht="12.9" customHeight="1">
      <c r="A242" s="90"/>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row>
    <row r="243" spans="1:32" s="16" customFormat="1" ht="12.9" customHeight="1">
      <c r="A243" s="90"/>
      <c r="B243" s="15"/>
      <c r="C243" s="15"/>
      <c r="D243" s="15"/>
      <c r="E243" s="15"/>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row>
    <row r="244" spans="1:32" s="16" customFormat="1" ht="12.9" customHeight="1">
      <c r="A244" s="90"/>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row>
    <row r="245" spans="1:32" s="16" customFormat="1" ht="12.9" customHeight="1">
      <c r="A245" s="90"/>
      <c r="B245" s="15"/>
      <c r="C245" s="15"/>
      <c r="D245" s="15"/>
      <c r="E245" s="15"/>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row>
    <row r="246" spans="1:32" s="16" customFormat="1" ht="12.9" customHeight="1">
      <c r="A246" s="90"/>
      <c r="B246" s="15"/>
      <c r="C246" s="15"/>
      <c r="D246" s="15"/>
      <c r="E246" s="15"/>
      <c r="F246" s="15"/>
      <c r="G246" s="15"/>
      <c r="H246" s="15"/>
      <c r="I246" s="15"/>
      <c r="J246" s="15"/>
      <c r="K246" s="15"/>
      <c r="L246" s="15"/>
      <c r="M246" s="15"/>
      <c r="N246" s="15"/>
      <c r="O246" s="15"/>
      <c r="P246" s="15"/>
      <c r="Q246" s="15"/>
      <c r="R246" s="15"/>
      <c r="S246" s="15"/>
      <c r="T246" s="15"/>
      <c r="U246" s="15"/>
      <c r="V246" s="15"/>
      <c r="W246" s="15"/>
      <c r="X246" s="15"/>
      <c r="Y246" s="15"/>
      <c r="Z246" s="15"/>
      <c r="AA246" s="15"/>
      <c r="AB246" s="15"/>
      <c r="AC246" s="15"/>
      <c r="AD246" s="15"/>
      <c r="AE246" s="15"/>
      <c r="AF246" s="15"/>
    </row>
    <row r="247" spans="1:32" s="16" customFormat="1" ht="12.9" customHeight="1">
      <c r="A247" s="90"/>
      <c r="B247" s="15"/>
      <c r="C247" s="15"/>
      <c r="D247" s="15"/>
      <c r="E247" s="15"/>
      <c r="F247" s="15"/>
      <c r="G247" s="15"/>
      <c r="H247" s="15"/>
      <c r="I247" s="15"/>
      <c r="J247" s="15"/>
      <c r="K247" s="15"/>
      <c r="L247" s="15"/>
      <c r="M247" s="15"/>
      <c r="N247" s="15"/>
      <c r="O247" s="15"/>
      <c r="P247" s="15"/>
      <c r="Q247" s="15"/>
      <c r="R247" s="15"/>
      <c r="S247" s="15"/>
      <c r="T247" s="15"/>
      <c r="U247" s="15"/>
      <c r="V247" s="15"/>
      <c r="W247" s="15"/>
      <c r="X247" s="15"/>
      <c r="Y247" s="15"/>
      <c r="Z247" s="15"/>
      <c r="AA247" s="15"/>
      <c r="AB247" s="15"/>
      <c r="AC247" s="15"/>
      <c r="AD247" s="15"/>
      <c r="AE247" s="15"/>
      <c r="AF247" s="15"/>
    </row>
    <row r="248" spans="1:32" s="16" customFormat="1" ht="12.9" customHeight="1">
      <c r="A248" s="90"/>
      <c r="B248" s="15"/>
      <c r="C248" s="15"/>
      <c r="D248" s="15"/>
      <c r="E248" s="15"/>
      <c r="F248" s="15"/>
      <c r="G248" s="15"/>
      <c r="H248" s="15"/>
      <c r="I248" s="15"/>
      <c r="J248" s="15"/>
      <c r="K248" s="15"/>
      <c r="L248" s="15"/>
      <c r="M248" s="15"/>
      <c r="N248" s="15"/>
      <c r="O248" s="15"/>
      <c r="P248" s="15"/>
      <c r="Q248" s="15"/>
      <c r="R248" s="15"/>
      <c r="S248" s="15"/>
      <c r="T248" s="15"/>
      <c r="U248" s="15"/>
      <c r="V248" s="15"/>
      <c r="W248" s="15"/>
      <c r="X248" s="15"/>
      <c r="Y248" s="15"/>
      <c r="Z248" s="15"/>
      <c r="AA248" s="15"/>
      <c r="AB248" s="15"/>
      <c r="AC248" s="15"/>
      <c r="AD248" s="15"/>
      <c r="AE248" s="15"/>
      <c r="AF248" s="15"/>
    </row>
    <row r="249" spans="1:32" s="16" customFormat="1" ht="12.9" customHeight="1">
      <c r="A249" s="90"/>
      <c r="B249" s="15"/>
      <c r="C249" s="15"/>
      <c r="D249" s="15"/>
      <c r="E249" s="15"/>
      <c r="F249" s="15"/>
      <c r="G249" s="15"/>
      <c r="H249" s="15"/>
      <c r="I249" s="15"/>
      <c r="J249" s="15"/>
      <c r="K249" s="15"/>
      <c r="L249" s="15"/>
      <c r="M249" s="15"/>
      <c r="N249" s="15"/>
      <c r="O249" s="15"/>
      <c r="P249" s="15"/>
      <c r="Q249" s="15"/>
      <c r="R249" s="15"/>
      <c r="S249" s="15"/>
      <c r="T249" s="15"/>
      <c r="U249" s="15"/>
      <c r="V249" s="15"/>
      <c r="W249" s="15"/>
      <c r="X249" s="15"/>
      <c r="Y249" s="15"/>
      <c r="Z249" s="15"/>
      <c r="AA249" s="15"/>
      <c r="AB249" s="15"/>
      <c r="AC249" s="15"/>
      <c r="AD249" s="15"/>
      <c r="AE249" s="15"/>
      <c r="AF249" s="15"/>
    </row>
    <row r="250" spans="1:32" s="16" customFormat="1" ht="12.9" customHeight="1">
      <c r="A250" s="90"/>
      <c r="B250" s="15"/>
      <c r="C250" s="15"/>
      <c r="D250" s="15"/>
      <c r="E250" s="15"/>
      <c r="F250" s="15"/>
      <c r="G250" s="15"/>
      <c r="H250" s="15"/>
      <c r="I250" s="15"/>
      <c r="J250" s="15"/>
      <c r="K250" s="15"/>
      <c r="L250" s="15"/>
      <c r="M250" s="15"/>
      <c r="N250" s="15"/>
      <c r="O250" s="15"/>
      <c r="P250" s="15"/>
      <c r="Q250" s="15"/>
      <c r="R250" s="15"/>
      <c r="S250" s="15"/>
      <c r="T250" s="15"/>
      <c r="U250" s="15"/>
      <c r="V250" s="15"/>
      <c r="W250" s="15"/>
      <c r="X250" s="15"/>
      <c r="Y250" s="15"/>
      <c r="Z250" s="15"/>
      <c r="AA250" s="15"/>
      <c r="AB250" s="15"/>
      <c r="AC250" s="15"/>
      <c r="AD250" s="15"/>
      <c r="AE250" s="15"/>
      <c r="AF250" s="15"/>
    </row>
    <row r="251" spans="1:32" s="16" customFormat="1" ht="12.9" customHeight="1">
      <c r="A251" s="90"/>
      <c r="B251" s="15"/>
      <c r="C251" s="15"/>
      <c r="D251" s="15"/>
      <c r="E251" s="15"/>
      <c r="F251" s="15"/>
      <c r="G251" s="15"/>
      <c r="H251" s="15"/>
      <c r="I251" s="15"/>
      <c r="J251" s="15"/>
      <c r="K251" s="15"/>
      <c r="L251" s="15"/>
      <c r="M251" s="15"/>
      <c r="N251" s="15"/>
      <c r="O251" s="15"/>
      <c r="P251" s="15"/>
      <c r="Q251" s="15"/>
      <c r="R251" s="15"/>
      <c r="S251" s="15"/>
      <c r="T251" s="15"/>
      <c r="U251" s="15"/>
      <c r="V251" s="15"/>
      <c r="W251" s="15"/>
      <c r="X251" s="15"/>
      <c r="Y251" s="15"/>
      <c r="Z251" s="15"/>
      <c r="AA251" s="15"/>
      <c r="AB251" s="15"/>
      <c r="AC251" s="15"/>
      <c r="AD251" s="15"/>
      <c r="AE251" s="15"/>
      <c r="AF251" s="15"/>
    </row>
    <row r="252" spans="1:32" s="16" customFormat="1" ht="12.9" customHeight="1">
      <c r="A252" s="90"/>
      <c r="B252" s="15"/>
      <c r="C252" s="15"/>
      <c r="D252" s="15"/>
      <c r="E252" s="15"/>
      <c r="F252" s="15"/>
      <c r="G252" s="15"/>
      <c r="H252" s="15"/>
      <c r="I252" s="15"/>
      <c r="J252" s="15"/>
      <c r="K252" s="15"/>
      <c r="L252" s="15"/>
      <c r="M252" s="15"/>
      <c r="N252" s="15"/>
      <c r="O252" s="15"/>
      <c r="P252" s="15"/>
      <c r="Q252" s="15"/>
      <c r="R252" s="15"/>
      <c r="S252" s="15"/>
      <c r="T252" s="15"/>
      <c r="U252" s="15"/>
      <c r="V252" s="15"/>
      <c r="W252" s="15"/>
      <c r="X252" s="15"/>
      <c r="Y252" s="15"/>
      <c r="Z252" s="15"/>
      <c r="AA252" s="15"/>
      <c r="AB252" s="15"/>
      <c r="AC252" s="15"/>
      <c r="AD252" s="15"/>
      <c r="AE252" s="15"/>
      <c r="AF252" s="15"/>
    </row>
    <row r="253" spans="1:32" s="16" customFormat="1" ht="12.9" customHeight="1">
      <c r="A253" s="90"/>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row>
    <row r="254" spans="1:32" s="16" customFormat="1" ht="12.9" customHeight="1">
      <c r="A254" s="90"/>
      <c r="B254" s="15"/>
      <c r="C254" s="15"/>
      <c r="D254" s="15"/>
      <c r="E254" s="15"/>
      <c r="F254" s="15"/>
      <c r="G254" s="15"/>
      <c r="H254" s="15"/>
      <c r="I254" s="15"/>
      <c r="J254" s="15"/>
      <c r="K254" s="15"/>
      <c r="L254" s="15"/>
      <c r="M254" s="15"/>
      <c r="N254" s="15"/>
      <c r="O254" s="15"/>
      <c r="P254" s="15"/>
      <c r="Q254" s="15"/>
      <c r="R254" s="15"/>
      <c r="S254" s="15"/>
      <c r="T254" s="15"/>
      <c r="U254" s="15"/>
      <c r="V254" s="15"/>
      <c r="W254" s="15"/>
      <c r="X254" s="15"/>
      <c r="Y254" s="15"/>
      <c r="Z254" s="15"/>
      <c r="AA254" s="15"/>
      <c r="AB254" s="15"/>
      <c r="AC254" s="15"/>
      <c r="AD254" s="15"/>
      <c r="AE254" s="15"/>
      <c r="AF254" s="15"/>
    </row>
    <row r="255" spans="1:32" s="16" customFormat="1" ht="12.9" customHeight="1">
      <c r="A255" s="90"/>
      <c r="B255" s="15"/>
      <c r="C255" s="15"/>
      <c r="D255" s="15"/>
      <c r="E255" s="15"/>
      <c r="F255" s="15"/>
      <c r="G255" s="15"/>
      <c r="H255" s="15"/>
      <c r="I255" s="15"/>
      <c r="J255" s="15"/>
      <c r="K255" s="15"/>
      <c r="L255" s="15"/>
      <c r="M255" s="15"/>
      <c r="N255" s="15"/>
      <c r="O255" s="15"/>
      <c r="P255" s="15"/>
      <c r="Q255" s="15"/>
      <c r="R255" s="15"/>
      <c r="S255" s="15"/>
      <c r="T255" s="15"/>
      <c r="U255" s="15"/>
      <c r="V255" s="15"/>
      <c r="W255" s="15"/>
      <c r="X255" s="15"/>
      <c r="Y255" s="15"/>
      <c r="Z255" s="15"/>
      <c r="AA255" s="15"/>
      <c r="AB255" s="15"/>
      <c r="AC255" s="15"/>
      <c r="AD255" s="15"/>
      <c r="AE255" s="15"/>
      <c r="AF255" s="15"/>
    </row>
    <row r="256" spans="1:32" s="16" customFormat="1" ht="12.9" customHeight="1">
      <c r="A256" s="90"/>
      <c r="B256" s="15"/>
      <c r="C256" s="15"/>
      <c r="D256" s="15"/>
      <c r="E256" s="15"/>
      <c r="F256" s="15"/>
      <c r="G256" s="15"/>
      <c r="H256" s="15"/>
      <c r="I256" s="15"/>
      <c r="J256" s="15"/>
      <c r="K256" s="15"/>
      <c r="L256" s="15"/>
      <c r="M256" s="15"/>
      <c r="N256" s="15"/>
      <c r="O256" s="15"/>
      <c r="P256" s="15"/>
      <c r="Q256" s="15"/>
      <c r="R256" s="15"/>
      <c r="S256" s="15"/>
      <c r="T256" s="15"/>
      <c r="U256" s="15"/>
      <c r="V256" s="15"/>
      <c r="W256" s="15"/>
      <c r="X256" s="15"/>
      <c r="Y256" s="15"/>
      <c r="Z256" s="15"/>
      <c r="AA256" s="15"/>
      <c r="AB256" s="15"/>
      <c r="AC256" s="15"/>
      <c r="AD256" s="15"/>
      <c r="AE256" s="15"/>
      <c r="AF256" s="15"/>
    </row>
    <row r="257" spans="1:32" s="16" customFormat="1" ht="12.9" customHeight="1">
      <c r="A257" s="90"/>
      <c r="B257" s="15"/>
      <c r="C257" s="15"/>
      <c r="D257" s="15"/>
      <c r="E257" s="15"/>
      <c r="F257" s="15"/>
      <c r="G257" s="15"/>
      <c r="H257" s="15"/>
      <c r="I257" s="15"/>
      <c r="J257" s="15"/>
      <c r="K257" s="15"/>
      <c r="L257" s="15"/>
      <c r="M257" s="15"/>
      <c r="N257" s="15"/>
      <c r="O257" s="15"/>
      <c r="P257" s="15"/>
      <c r="Q257" s="15"/>
      <c r="R257" s="15"/>
      <c r="S257" s="15"/>
      <c r="T257" s="15"/>
      <c r="U257" s="15"/>
      <c r="V257" s="15"/>
      <c r="W257" s="15"/>
      <c r="X257" s="15"/>
      <c r="Y257" s="15"/>
      <c r="Z257" s="15"/>
      <c r="AA257" s="15"/>
      <c r="AB257" s="15"/>
      <c r="AC257" s="15"/>
      <c r="AD257" s="15"/>
      <c r="AE257" s="15"/>
      <c r="AF257" s="15"/>
    </row>
    <row r="258" spans="1:32" s="16" customFormat="1" ht="12.9" customHeight="1">
      <c r="A258" s="90"/>
      <c r="B258" s="15"/>
      <c r="C258" s="15"/>
      <c r="D258" s="15"/>
      <c r="E258" s="15"/>
      <c r="F258" s="15"/>
      <c r="G258" s="15"/>
      <c r="H258" s="15"/>
      <c r="I258" s="15"/>
      <c r="J258" s="15"/>
      <c r="K258" s="15"/>
      <c r="L258" s="15"/>
      <c r="M258" s="15"/>
      <c r="N258" s="15"/>
      <c r="O258" s="15"/>
      <c r="P258" s="15"/>
      <c r="Q258" s="15"/>
      <c r="R258" s="15"/>
      <c r="S258" s="15"/>
      <c r="T258" s="15"/>
      <c r="U258" s="15"/>
      <c r="V258" s="15"/>
      <c r="W258" s="15"/>
      <c r="X258" s="15"/>
      <c r="Y258" s="15"/>
      <c r="Z258" s="15"/>
      <c r="AA258" s="15"/>
      <c r="AB258" s="15"/>
      <c r="AC258" s="15"/>
      <c r="AD258" s="15"/>
      <c r="AE258" s="15"/>
      <c r="AF258" s="15"/>
    </row>
    <row r="259" spans="1:32" s="16" customFormat="1" ht="12.9" customHeight="1">
      <c r="A259" s="90"/>
      <c r="B259" s="15"/>
      <c r="C259" s="15"/>
      <c r="D259" s="15"/>
      <c r="E259" s="15"/>
      <c r="F259" s="15"/>
      <c r="G259" s="15"/>
      <c r="H259" s="15"/>
      <c r="I259" s="15"/>
      <c r="J259" s="15"/>
      <c r="K259" s="15"/>
      <c r="L259" s="15"/>
      <c r="M259" s="15"/>
      <c r="N259" s="15"/>
      <c r="O259" s="15"/>
      <c r="P259" s="15"/>
      <c r="Q259" s="15"/>
      <c r="R259" s="15"/>
      <c r="S259" s="15"/>
      <c r="T259" s="15"/>
      <c r="U259" s="15"/>
      <c r="V259" s="15"/>
      <c r="W259" s="15"/>
      <c r="X259" s="15"/>
      <c r="Y259" s="15"/>
      <c r="Z259" s="15"/>
      <c r="AA259" s="15"/>
      <c r="AB259" s="15"/>
      <c r="AC259" s="15"/>
      <c r="AD259" s="15"/>
      <c r="AE259" s="15"/>
      <c r="AF259" s="15"/>
    </row>
    <row r="260" spans="1:32" s="16" customFormat="1" ht="12.9" customHeight="1">
      <c r="A260" s="90"/>
      <c r="B260" s="15"/>
      <c r="C260" s="15"/>
      <c r="D260" s="15"/>
      <c r="E260" s="15"/>
      <c r="F260" s="15"/>
      <c r="G260" s="15"/>
      <c r="H260" s="15"/>
      <c r="I260" s="15"/>
      <c r="J260" s="15"/>
      <c r="K260" s="15"/>
      <c r="L260" s="15"/>
      <c r="M260" s="15"/>
      <c r="N260" s="15"/>
      <c r="O260" s="15"/>
      <c r="P260" s="15"/>
      <c r="Q260" s="15"/>
      <c r="R260" s="15"/>
      <c r="S260" s="15"/>
      <c r="T260" s="15"/>
      <c r="U260" s="15"/>
      <c r="V260" s="15"/>
      <c r="W260" s="15"/>
      <c r="X260" s="15"/>
      <c r="Y260" s="15"/>
      <c r="Z260" s="15"/>
      <c r="AA260" s="15"/>
      <c r="AB260" s="15"/>
      <c r="AC260" s="15"/>
      <c r="AD260" s="15"/>
      <c r="AE260" s="15"/>
      <c r="AF260" s="15"/>
    </row>
    <row r="261" spans="1:32" s="16" customFormat="1" ht="12.9" customHeight="1">
      <c r="A261" s="90"/>
      <c r="B261" s="15"/>
      <c r="C261" s="15"/>
      <c r="D261" s="15"/>
      <c r="E261" s="15"/>
      <c r="F261" s="15"/>
      <c r="G261" s="15"/>
      <c r="H261" s="15"/>
      <c r="I261" s="15"/>
      <c r="J261" s="15"/>
      <c r="K261" s="15"/>
      <c r="L261" s="15"/>
      <c r="M261" s="15"/>
      <c r="N261" s="15"/>
      <c r="O261" s="15"/>
      <c r="P261" s="15"/>
      <c r="Q261" s="15"/>
      <c r="R261" s="15"/>
      <c r="S261" s="15"/>
      <c r="T261" s="15"/>
      <c r="U261" s="15"/>
      <c r="V261" s="15"/>
      <c r="W261" s="15"/>
      <c r="X261" s="15"/>
      <c r="Y261" s="15"/>
      <c r="Z261" s="15"/>
      <c r="AA261" s="15"/>
      <c r="AB261" s="15"/>
      <c r="AC261" s="15"/>
      <c r="AD261" s="15"/>
      <c r="AE261" s="15"/>
      <c r="AF261" s="15"/>
    </row>
    <row r="262" spans="1:32" s="16" customFormat="1" ht="12.9" customHeight="1">
      <c r="A262" s="90"/>
      <c r="B262" s="15"/>
      <c r="C262" s="15"/>
      <c r="D262" s="15"/>
      <c r="E262" s="15"/>
      <c r="F262" s="15"/>
      <c r="G262" s="15"/>
      <c r="H262" s="15"/>
      <c r="I262" s="15"/>
      <c r="J262" s="15"/>
      <c r="K262" s="15"/>
      <c r="L262" s="15"/>
      <c r="M262" s="15"/>
      <c r="N262" s="15"/>
      <c r="O262" s="15"/>
      <c r="P262" s="15"/>
      <c r="Q262" s="15"/>
      <c r="R262" s="15"/>
      <c r="S262" s="15"/>
      <c r="T262" s="15"/>
      <c r="U262" s="15"/>
      <c r="V262" s="15"/>
      <c r="W262" s="15"/>
      <c r="X262" s="15"/>
      <c r="Y262" s="15"/>
      <c r="Z262" s="15"/>
      <c r="AA262" s="15"/>
      <c r="AB262" s="15"/>
      <c r="AC262" s="15"/>
      <c r="AD262" s="15"/>
      <c r="AE262" s="15"/>
      <c r="AF262" s="15"/>
    </row>
    <row r="263" spans="1:32" s="16" customFormat="1" ht="12.9" customHeight="1">
      <c r="A263" s="90"/>
      <c r="B263" s="15"/>
      <c r="C263" s="15"/>
      <c r="D263" s="15"/>
      <c r="E263" s="15"/>
      <c r="F263" s="15"/>
      <c r="G263" s="15"/>
      <c r="H263" s="15"/>
      <c r="I263" s="15"/>
      <c r="J263" s="15"/>
      <c r="K263" s="15"/>
      <c r="L263" s="15"/>
      <c r="M263" s="15"/>
      <c r="N263" s="15"/>
      <c r="O263" s="15"/>
      <c r="P263" s="15"/>
      <c r="Q263" s="15"/>
      <c r="R263" s="15"/>
      <c r="S263" s="15"/>
      <c r="T263" s="15"/>
      <c r="U263" s="15"/>
      <c r="V263" s="15"/>
      <c r="W263" s="15"/>
      <c r="X263" s="15"/>
      <c r="Y263" s="15"/>
      <c r="Z263" s="15"/>
      <c r="AA263" s="15"/>
      <c r="AB263" s="15"/>
      <c r="AC263" s="15"/>
      <c r="AD263" s="15"/>
      <c r="AE263" s="15"/>
      <c r="AF263" s="15"/>
    </row>
    <row r="264" spans="1:32" s="16" customFormat="1" ht="12.9" customHeight="1">
      <c r="A264" s="90"/>
      <c r="B264" s="15"/>
      <c r="C264" s="15"/>
      <c r="D264" s="15"/>
      <c r="E264" s="15"/>
      <c r="F264" s="15"/>
      <c r="G264" s="15"/>
      <c r="H264" s="15"/>
      <c r="I264" s="15"/>
      <c r="J264" s="15"/>
      <c r="K264" s="15"/>
      <c r="L264" s="15"/>
      <c r="M264" s="15"/>
      <c r="N264" s="15"/>
      <c r="O264" s="15"/>
      <c r="P264" s="15"/>
      <c r="Q264" s="15"/>
      <c r="R264" s="15"/>
      <c r="S264" s="15"/>
      <c r="T264" s="15"/>
      <c r="U264" s="15"/>
      <c r="V264" s="15"/>
      <c r="W264" s="15"/>
      <c r="X264" s="15"/>
      <c r="Y264" s="15"/>
      <c r="Z264" s="15"/>
      <c r="AA264" s="15"/>
      <c r="AB264" s="15"/>
      <c r="AC264" s="15"/>
      <c r="AD264" s="15"/>
      <c r="AE264" s="15"/>
      <c r="AF264" s="15"/>
    </row>
    <row r="265" spans="1:32" s="16" customFormat="1" ht="12.9" customHeight="1">
      <c r="A265" s="90"/>
      <c r="B265" s="15"/>
      <c r="C265" s="15"/>
      <c r="D265" s="15"/>
      <c r="E265" s="15"/>
      <c r="F265" s="15"/>
      <c r="G265" s="15"/>
      <c r="H265" s="15"/>
      <c r="I265" s="15"/>
      <c r="J265" s="15"/>
      <c r="K265" s="15"/>
      <c r="L265" s="15"/>
      <c r="M265" s="15"/>
      <c r="N265" s="15"/>
      <c r="O265" s="15"/>
      <c r="P265" s="15"/>
      <c r="Q265" s="15"/>
      <c r="R265" s="15"/>
      <c r="S265" s="15"/>
      <c r="T265" s="15"/>
      <c r="U265" s="15"/>
      <c r="V265" s="15"/>
      <c r="W265" s="15"/>
      <c r="X265" s="15"/>
      <c r="Y265" s="15"/>
      <c r="Z265" s="15"/>
      <c r="AA265" s="15"/>
      <c r="AB265" s="15"/>
      <c r="AC265" s="15"/>
      <c r="AD265" s="15"/>
      <c r="AE265" s="15"/>
      <c r="AF265" s="15"/>
    </row>
    <row r="266" spans="1:32" s="16" customFormat="1" ht="12.9" customHeight="1">
      <c r="A266" s="90"/>
      <c r="B266" s="15"/>
      <c r="C266" s="15"/>
      <c r="D266" s="15"/>
      <c r="E266" s="15"/>
      <c r="F266" s="15"/>
      <c r="G266" s="15"/>
      <c r="H266" s="15"/>
      <c r="I266" s="15"/>
      <c r="J266" s="15"/>
      <c r="K266" s="15"/>
      <c r="L266" s="15"/>
      <c r="M266" s="15"/>
      <c r="N266" s="15"/>
      <c r="O266" s="15"/>
      <c r="P266" s="15"/>
      <c r="Q266" s="15"/>
      <c r="R266" s="15"/>
      <c r="S266" s="15"/>
      <c r="T266" s="15"/>
      <c r="U266" s="15"/>
      <c r="V266" s="15"/>
      <c r="W266" s="15"/>
      <c r="X266" s="15"/>
      <c r="Y266" s="15"/>
      <c r="Z266" s="15"/>
      <c r="AA266" s="15"/>
      <c r="AB266" s="15"/>
      <c r="AC266" s="15"/>
      <c r="AD266" s="15"/>
      <c r="AE266" s="15"/>
      <c r="AF266" s="15"/>
    </row>
    <row r="267" spans="1:32" s="16" customFormat="1" ht="12.9" customHeight="1">
      <c r="A267" s="90"/>
      <c r="B267" s="15"/>
      <c r="C267" s="15"/>
      <c r="D267" s="15"/>
      <c r="E267" s="15"/>
      <c r="F267" s="15"/>
      <c r="G267" s="15"/>
      <c r="H267" s="15"/>
      <c r="I267" s="15"/>
      <c r="J267" s="15"/>
      <c r="K267" s="15"/>
      <c r="L267" s="15"/>
      <c r="M267" s="15"/>
      <c r="N267" s="15"/>
      <c r="O267" s="15"/>
      <c r="P267" s="15"/>
      <c r="Q267" s="15"/>
      <c r="R267" s="15"/>
      <c r="S267" s="15"/>
      <c r="T267" s="15"/>
      <c r="U267" s="15"/>
      <c r="V267" s="15"/>
      <c r="W267" s="15"/>
      <c r="X267" s="15"/>
      <c r="Y267" s="15"/>
      <c r="Z267" s="15"/>
      <c r="AA267" s="15"/>
      <c r="AB267" s="15"/>
      <c r="AC267" s="15"/>
      <c r="AD267" s="15"/>
      <c r="AE267" s="15"/>
      <c r="AF267" s="15"/>
    </row>
    <row r="268" spans="1:32" s="16" customFormat="1" ht="12.9" customHeight="1">
      <c r="A268" s="90"/>
      <c r="B268" s="15"/>
      <c r="C268" s="15"/>
      <c r="D268" s="15"/>
      <c r="E268" s="15"/>
      <c r="F268" s="15"/>
      <c r="G268" s="15"/>
      <c r="H268" s="15"/>
      <c r="I268" s="15"/>
      <c r="J268" s="15"/>
      <c r="K268" s="15"/>
      <c r="L268" s="15"/>
      <c r="M268" s="15"/>
      <c r="N268" s="15"/>
      <c r="O268" s="15"/>
      <c r="P268" s="15"/>
      <c r="Q268" s="15"/>
      <c r="R268" s="15"/>
      <c r="S268" s="15"/>
      <c r="T268" s="15"/>
      <c r="U268" s="15"/>
      <c r="V268" s="15"/>
      <c r="W268" s="15"/>
      <c r="X268" s="15"/>
      <c r="Y268" s="15"/>
      <c r="Z268" s="15"/>
      <c r="AA268" s="15"/>
      <c r="AB268" s="15"/>
      <c r="AC268" s="15"/>
      <c r="AD268" s="15"/>
      <c r="AE268" s="15"/>
      <c r="AF268" s="15"/>
    </row>
    <row r="269" spans="1:32" s="16" customFormat="1" ht="12.9" customHeight="1">
      <c r="A269" s="90"/>
      <c r="B269" s="15"/>
      <c r="C269" s="15"/>
      <c r="D269" s="15"/>
      <c r="E269" s="15"/>
      <c r="F269" s="15"/>
      <c r="G269" s="15"/>
      <c r="H269" s="15"/>
      <c r="I269" s="15"/>
      <c r="J269" s="15"/>
      <c r="K269" s="15"/>
      <c r="L269" s="15"/>
      <c r="M269" s="15"/>
      <c r="N269" s="15"/>
      <c r="O269" s="15"/>
      <c r="P269" s="15"/>
      <c r="Q269" s="15"/>
      <c r="R269" s="15"/>
      <c r="S269" s="15"/>
      <c r="T269" s="15"/>
      <c r="U269" s="15"/>
      <c r="V269" s="15"/>
      <c r="W269" s="15"/>
      <c r="X269" s="15"/>
      <c r="Y269" s="15"/>
      <c r="Z269" s="15"/>
      <c r="AA269" s="15"/>
      <c r="AB269" s="15"/>
      <c r="AC269" s="15"/>
      <c r="AD269" s="15"/>
      <c r="AE269" s="15"/>
      <c r="AF269" s="15"/>
    </row>
    <row r="270" spans="1:32" s="16" customFormat="1" ht="12.9" customHeight="1">
      <c r="A270" s="90"/>
      <c r="B270" s="15"/>
      <c r="C270" s="15"/>
      <c r="D270" s="15"/>
      <c r="E270" s="15"/>
      <c r="F270" s="15"/>
      <c r="G270" s="15"/>
      <c r="H270" s="15"/>
      <c r="I270" s="15"/>
      <c r="J270" s="15"/>
      <c r="K270" s="15"/>
      <c r="L270" s="15"/>
      <c r="M270" s="15"/>
      <c r="N270" s="15"/>
      <c r="O270" s="15"/>
      <c r="P270" s="15"/>
      <c r="Q270" s="15"/>
      <c r="R270" s="15"/>
      <c r="S270" s="15"/>
      <c r="T270" s="15"/>
      <c r="U270" s="15"/>
      <c r="V270" s="15"/>
      <c r="W270" s="15"/>
      <c r="X270" s="15"/>
      <c r="Y270" s="15"/>
      <c r="Z270" s="15"/>
      <c r="AA270" s="15"/>
      <c r="AB270" s="15"/>
      <c r="AC270" s="15"/>
      <c r="AD270" s="15"/>
      <c r="AE270" s="15"/>
      <c r="AF270" s="15"/>
    </row>
    <row r="271" spans="1:32" s="16" customFormat="1" ht="12.9" customHeight="1">
      <c r="A271" s="90"/>
      <c r="B271" s="15"/>
      <c r="C271" s="15"/>
      <c r="D271" s="15"/>
      <c r="E271" s="15"/>
      <c r="F271" s="15"/>
      <c r="G271" s="15"/>
      <c r="H271" s="15"/>
      <c r="I271" s="15"/>
      <c r="J271" s="15"/>
      <c r="K271" s="15"/>
      <c r="L271" s="15"/>
      <c r="M271" s="15"/>
      <c r="N271" s="15"/>
      <c r="O271" s="15"/>
      <c r="P271" s="15"/>
      <c r="Q271" s="15"/>
      <c r="R271" s="15"/>
      <c r="S271" s="15"/>
      <c r="T271" s="15"/>
      <c r="U271" s="15"/>
      <c r="V271" s="15"/>
      <c r="W271" s="15"/>
      <c r="X271" s="15"/>
      <c r="Y271" s="15"/>
      <c r="Z271" s="15"/>
      <c r="AA271" s="15"/>
      <c r="AB271" s="15"/>
      <c r="AC271" s="15"/>
      <c r="AD271" s="15"/>
      <c r="AE271" s="15"/>
      <c r="AF271" s="15"/>
    </row>
    <row r="272" spans="1:32" s="16" customFormat="1" ht="12.9" customHeight="1">
      <c r="A272" s="90"/>
      <c r="B272" s="15"/>
      <c r="C272" s="15"/>
      <c r="D272" s="15"/>
      <c r="E272" s="15"/>
      <c r="F272" s="15"/>
      <c r="G272" s="15"/>
      <c r="H272" s="15"/>
      <c r="I272" s="15"/>
      <c r="J272" s="15"/>
      <c r="K272" s="15"/>
      <c r="L272" s="15"/>
      <c r="M272" s="15"/>
      <c r="N272" s="15"/>
      <c r="O272" s="15"/>
      <c r="P272" s="15"/>
      <c r="Q272" s="15"/>
      <c r="R272" s="15"/>
      <c r="S272" s="15"/>
      <c r="T272" s="15"/>
      <c r="U272" s="15"/>
      <c r="V272" s="15"/>
      <c r="W272" s="15"/>
      <c r="X272" s="15"/>
      <c r="Y272" s="15"/>
      <c r="Z272" s="15"/>
      <c r="AA272" s="15"/>
      <c r="AB272" s="15"/>
      <c r="AC272" s="15"/>
      <c r="AD272" s="15"/>
      <c r="AE272" s="15"/>
      <c r="AF272" s="15"/>
    </row>
    <row r="273" spans="1:32" s="16" customFormat="1" ht="12.9" customHeight="1">
      <c r="A273" s="90"/>
      <c r="B273" s="15"/>
      <c r="C273" s="15"/>
      <c r="D273" s="15"/>
      <c r="E273" s="15"/>
      <c r="F273" s="15"/>
      <c r="G273" s="15"/>
      <c r="H273" s="15"/>
      <c r="I273" s="15"/>
      <c r="J273" s="15"/>
      <c r="K273" s="15"/>
      <c r="L273" s="15"/>
      <c r="M273" s="15"/>
      <c r="N273" s="15"/>
      <c r="O273" s="15"/>
      <c r="P273" s="15"/>
      <c r="Q273" s="15"/>
      <c r="R273" s="15"/>
      <c r="S273" s="15"/>
      <c r="T273" s="15"/>
      <c r="U273" s="15"/>
      <c r="V273" s="15"/>
      <c r="W273" s="15"/>
      <c r="X273" s="15"/>
      <c r="Y273" s="15"/>
      <c r="Z273" s="15"/>
      <c r="AA273" s="15"/>
      <c r="AB273" s="15"/>
      <c r="AC273" s="15"/>
      <c r="AD273" s="15"/>
      <c r="AE273" s="15"/>
      <c r="AF273" s="15"/>
    </row>
    <row r="274" spans="1:32" s="16" customFormat="1" ht="12.9" customHeight="1">
      <c r="A274" s="90"/>
      <c r="B274" s="15"/>
      <c r="C274" s="15"/>
      <c r="D274" s="15"/>
      <c r="E274" s="15"/>
      <c r="F274" s="15"/>
      <c r="G274" s="15"/>
      <c r="H274" s="15"/>
      <c r="I274" s="15"/>
      <c r="J274" s="15"/>
      <c r="K274" s="15"/>
      <c r="L274" s="15"/>
      <c r="M274" s="15"/>
      <c r="N274" s="15"/>
      <c r="O274" s="15"/>
      <c r="P274" s="15"/>
      <c r="Q274" s="15"/>
      <c r="R274" s="15"/>
      <c r="S274" s="15"/>
      <c r="T274" s="15"/>
      <c r="U274" s="15"/>
      <c r="V274" s="15"/>
      <c r="W274" s="15"/>
      <c r="X274" s="15"/>
      <c r="Y274" s="15"/>
      <c r="Z274" s="15"/>
      <c r="AA274" s="15"/>
      <c r="AB274" s="15"/>
      <c r="AC274" s="15"/>
      <c r="AD274" s="15"/>
      <c r="AE274" s="15"/>
      <c r="AF274" s="15"/>
    </row>
    <row r="275" spans="1:32" s="16" customFormat="1" ht="12.9" customHeight="1">
      <c r="A275" s="90"/>
      <c r="B275" s="15"/>
      <c r="C275" s="15"/>
      <c r="D275" s="15"/>
      <c r="E275" s="15"/>
      <c r="F275" s="15"/>
      <c r="G275" s="15"/>
      <c r="H275" s="15"/>
      <c r="I275" s="15"/>
      <c r="J275" s="15"/>
      <c r="K275" s="15"/>
      <c r="L275" s="15"/>
      <c r="M275" s="15"/>
      <c r="N275" s="15"/>
      <c r="O275" s="15"/>
      <c r="P275" s="15"/>
      <c r="Q275" s="15"/>
      <c r="R275" s="15"/>
      <c r="S275" s="15"/>
      <c r="T275" s="15"/>
      <c r="U275" s="15"/>
      <c r="V275" s="15"/>
      <c r="W275" s="15"/>
      <c r="X275" s="15"/>
      <c r="Y275" s="15"/>
      <c r="Z275" s="15"/>
      <c r="AA275" s="15"/>
      <c r="AB275" s="15"/>
      <c r="AC275" s="15"/>
      <c r="AD275" s="15"/>
      <c r="AE275" s="15"/>
      <c r="AF275" s="15"/>
    </row>
    <row r="276" spans="1:32" ht="12.9" customHeight="1">
      <c r="AD276" s="12"/>
      <c r="AE276" s="12"/>
      <c r="AF276" s="12"/>
    </row>
    <row r="277" spans="1:32" ht="12.9" customHeight="1">
      <c r="AD277" s="12"/>
      <c r="AE277" s="12"/>
      <c r="AF277" s="12"/>
    </row>
    <row r="278" spans="1:32" ht="12.9" customHeight="1">
      <c r="AD278" s="12"/>
      <c r="AE278" s="12"/>
      <c r="AF278" s="12"/>
    </row>
    <row r="279" spans="1:32" ht="12.9" customHeight="1">
      <c r="AD279" s="12"/>
      <c r="AE279" s="12"/>
      <c r="AF279" s="12"/>
    </row>
    <row r="280" spans="1:32" ht="12.9" customHeight="1">
      <c r="AD280" s="12"/>
      <c r="AE280" s="12"/>
      <c r="AF280" s="12"/>
    </row>
    <row r="281" spans="1:32" ht="12.9" customHeight="1">
      <c r="AD281" s="12"/>
      <c r="AE281" s="12"/>
      <c r="AF281" s="12"/>
    </row>
    <row r="282" spans="1:32" ht="12.9" customHeight="1">
      <c r="AD282" s="12"/>
      <c r="AE282" s="12"/>
      <c r="AF282" s="12"/>
    </row>
    <row r="283" spans="1:32" ht="12.9" customHeight="1">
      <c r="AD283" s="12"/>
      <c r="AE283" s="12"/>
      <c r="AF283" s="12"/>
    </row>
    <row r="284" spans="1:32" ht="12.9" customHeight="1">
      <c r="AD284" s="12"/>
      <c r="AE284" s="12"/>
      <c r="AF284" s="12"/>
    </row>
    <row r="285" spans="1:32" ht="12.9" customHeight="1">
      <c r="AD285" s="12"/>
      <c r="AE285" s="12"/>
      <c r="AF285" s="12"/>
    </row>
    <row r="286" spans="1:32" ht="12.9" customHeight="1">
      <c r="AD286" s="12"/>
      <c r="AE286" s="12"/>
      <c r="AF286" s="12"/>
    </row>
    <row r="287" spans="1:32" ht="12.9" customHeight="1">
      <c r="AD287" s="12"/>
      <c r="AE287" s="12"/>
      <c r="AF287" s="12"/>
    </row>
    <row r="288" spans="1:32" ht="12.9" customHeight="1">
      <c r="AD288" s="12"/>
      <c r="AE288" s="12"/>
      <c r="AF288" s="12"/>
    </row>
    <row r="289" spans="30:32" ht="12.9" customHeight="1">
      <c r="AD289" s="12"/>
      <c r="AE289" s="12"/>
      <c r="AF289" s="12"/>
    </row>
    <row r="290" spans="30:32" ht="12.9" customHeight="1">
      <c r="AD290" s="12"/>
      <c r="AE290" s="12"/>
      <c r="AF290" s="12"/>
    </row>
    <row r="291" spans="30:32" ht="12.9" customHeight="1">
      <c r="AD291" s="12"/>
      <c r="AE291" s="12"/>
      <c r="AF291" s="12"/>
    </row>
    <row r="292" spans="30:32" ht="12.9" customHeight="1">
      <c r="AD292" s="12"/>
      <c r="AE292" s="12"/>
      <c r="AF292" s="12"/>
    </row>
    <row r="293" spans="30:32" ht="12.9" customHeight="1">
      <c r="AD293" s="12"/>
      <c r="AE293" s="12"/>
      <c r="AF293" s="12"/>
    </row>
    <row r="294" spans="30:32" ht="12.9" customHeight="1">
      <c r="AD294" s="12"/>
      <c r="AE294" s="12"/>
      <c r="AF294" s="12"/>
    </row>
    <row r="295" spans="30:32" ht="12.9" customHeight="1">
      <c r="AD295" s="12"/>
      <c r="AE295" s="12"/>
      <c r="AF295" s="12"/>
    </row>
    <row r="296" spans="30:32" ht="12.9" customHeight="1">
      <c r="AD296" s="12"/>
      <c r="AE296" s="12"/>
      <c r="AF296" s="12"/>
    </row>
    <row r="297" spans="30:32" ht="12.9" customHeight="1">
      <c r="AD297" s="12"/>
      <c r="AE297" s="12"/>
      <c r="AF297" s="12"/>
    </row>
    <row r="298" spans="30:32" ht="12.9" customHeight="1">
      <c r="AD298" s="12"/>
      <c r="AE298" s="12"/>
      <c r="AF298" s="12"/>
    </row>
    <row r="299" spans="30:32" ht="12.9" customHeight="1">
      <c r="AD299" s="12"/>
      <c r="AE299" s="12"/>
      <c r="AF299" s="12"/>
    </row>
    <row r="300" spans="30:32" ht="12.9" customHeight="1">
      <c r="AD300" s="12"/>
      <c r="AE300" s="12"/>
      <c r="AF300" s="12"/>
    </row>
    <row r="301" spans="30:32" ht="12.9" customHeight="1">
      <c r="AD301" s="12"/>
      <c r="AE301" s="12"/>
      <c r="AF301" s="12"/>
    </row>
    <row r="302" spans="30:32" ht="12.9" customHeight="1">
      <c r="AD302" s="12"/>
      <c r="AE302" s="12"/>
      <c r="AF302" s="12"/>
    </row>
    <row r="303" spans="30:32" ht="12.9" customHeight="1">
      <c r="AD303" s="12"/>
      <c r="AE303" s="12"/>
      <c r="AF303" s="12"/>
    </row>
    <row r="304" spans="30:32" ht="12.9" customHeight="1">
      <c r="AD304" s="12"/>
      <c r="AE304" s="12"/>
      <c r="AF304" s="12"/>
    </row>
    <row r="305" spans="30:32" ht="12.9" customHeight="1">
      <c r="AD305" s="12"/>
      <c r="AE305" s="12"/>
      <c r="AF305" s="12"/>
    </row>
    <row r="306" spans="30:32" ht="12.9" customHeight="1">
      <c r="AD306" s="12"/>
      <c r="AE306" s="12"/>
      <c r="AF306" s="12"/>
    </row>
    <row r="307" spans="30:32" ht="12.9" customHeight="1">
      <c r="AD307" s="12"/>
      <c r="AE307" s="12"/>
      <c r="AF307" s="12"/>
    </row>
    <row r="308" spans="30:32" ht="12.9" customHeight="1">
      <c r="AD308" s="12"/>
      <c r="AE308" s="12"/>
      <c r="AF308" s="12"/>
    </row>
    <row r="309" spans="30:32" ht="12.9" customHeight="1">
      <c r="AD309" s="12"/>
      <c r="AE309" s="12"/>
      <c r="AF309" s="12"/>
    </row>
    <row r="310" spans="30:32" ht="12.9" customHeight="1">
      <c r="AD310" s="12"/>
      <c r="AE310" s="12"/>
      <c r="AF310" s="12"/>
    </row>
    <row r="311" spans="30:32" ht="12.9" customHeight="1">
      <c r="AD311" s="12"/>
      <c r="AE311" s="12"/>
      <c r="AF311" s="12"/>
    </row>
    <row r="312" spans="30:32" ht="12.9" customHeight="1">
      <c r="AD312" s="12"/>
      <c r="AE312" s="12"/>
      <c r="AF312" s="12"/>
    </row>
    <row r="313" spans="30:32" ht="12.9" customHeight="1">
      <c r="AD313" s="12"/>
      <c r="AE313" s="12"/>
      <c r="AF313" s="12"/>
    </row>
    <row r="314" spans="30:32" ht="12.9" customHeight="1">
      <c r="AD314" s="12"/>
      <c r="AE314" s="12"/>
      <c r="AF314" s="12"/>
    </row>
    <row r="315" spans="30:32" ht="12.9" customHeight="1">
      <c r="AD315" s="12"/>
      <c r="AE315" s="12"/>
      <c r="AF315" s="12"/>
    </row>
    <row r="316" spans="30:32" ht="12.9" customHeight="1">
      <c r="AD316" s="12"/>
      <c r="AE316" s="12"/>
      <c r="AF316" s="12"/>
    </row>
    <row r="317" spans="30:32" ht="12.9" customHeight="1">
      <c r="AD317" s="12"/>
      <c r="AE317" s="12"/>
      <c r="AF317" s="12"/>
    </row>
    <row r="318" spans="30:32" ht="12.9" customHeight="1">
      <c r="AD318" s="12"/>
      <c r="AE318" s="12"/>
      <c r="AF318" s="12"/>
    </row>
    <row r="319" spans="30:32" ht="12.9" customHeight="1">
      <c r="AD319" s="12"/>
      <c r="AE319" s="12"/>
      <c r="AF319" s="12"/>
    </row>
    <row r="320" spans="30:32" ht="12.9" customHeight="1">
      <c r="AD320" s="12"/>
      <c r="AE320" s="12"/>
      <c r="AF320" s="12"/>
    </row>
    <row r="321" spans="30:32" ht="12.9" customHeight="1">
      <c r="AD321" s="12"/>
      <c r="AE321" s="12"/>
      <c r="AF321" s="12"/>
    </row>
    <row r="322" spans="30:32" ht="12.9" customHeight="1">
      <c r="AD322" s="12"/>
      <c r="AE322" s="12"/>
      <c r="AF322" s="12"/>
    </row>
    <row r="323" spans="30:32" ht="12.9" customHeight="1">
      <c r="AD323" s="12"/>
      <c r="AE323" s="12"/>
      <c r="AF323" s="12"/>
    </row>
    <row r="324" spans="30:32" ht="12.9" customHeight="1">
      <c r="AD324" s="12"/>
      <c r="AE324" s="12"/>
      <c r="AF324" s="12"/>
    </row>
    <row r="325" spans="30:32" ht="12.9" customHeight="1">
      <c r="AD325" s="12"/>
      <c r="AE325" s="12"/>
      <c r="AF325" s="12"/>
    </row>
    <row r="326" spans="30:32" ht="12.9" customHeight="1">
      <c r="AD326" s="12"/>
      <c r="AE326" s="12"/>
      <c r="AF326" s="12"/>
    </row>
    <row r="327" spans="30:32" ht="12.9" customHeight="1">
      <c r="AD327" s="12"/>
      <c r="AE327" s="12"/>
      <c r="AF327" s="12"/>
    </row>
    <row r="328" spans="30:32" ht="12.9" customHeight="1">
      <c r="AD328" s="12"/>
      <c r="AE328" s="12"/>
      <c r="AF328" s="12"/>
    </row>
    <row r="329" spans="30:32" ht="12.9" customHeight="1">
      <c r="AD329" s="12"/>
      <c r="AE329" s="12"/>
      <c r="AF329" s="12"/>
    </row>
    <row r="330" spans="30:32" ht="12.9" customHeight="1">
      <c r="AD330" s="12"/>
      <c r="AE330" s="12"/>
      <c r="AF330" s="12"/>
    </row>
    <row r="331" spans="30:32" ht="12.9" customHeight="1">
      <c r="AD331" s="12"/>
      <c r="AE331" s="12"/>
      <c r="AF331" s="12"/>
    </row>
    <row r="332" spans="30:32" ht="12.9" customHeight="1">
      <c r="AD332" s="12"/>
      <c r="AE332" s="12"/>
      <c r="AF332" s="12"/>
    </row>
    <row r="333" spans="30:32" ht="12.9" customHeight="1">
      <c r="AD333" s="12"/>
      <c r="AE333" s="12"/>
      <c r="AF333" s="12"/>
    </row>
    <row r="334" spans="30:32" ht="12.9" customHeight="1">
      <c r="AD334" s="12"/>
      <c r="AE334" s="12"/>
      <c r="AF334" s="12"/>
    </row>
    <row r="335" spans="30:32" ht="12.9" customHeight="1">
      <c r="AD335" s="12"/>
      <c r="AE335" s="12"/>
      <c r="AF335" s="12"/>
    </row>
    <row r="336" spans="30:32" ht="12.9" customHeight="1">
      <c r="AD336" s="12"/>
      <c r="AE336" s="12"/>
      <c r="AF336" s="12"/>
    </row>
    <row r="337" spans="30:32" ht="12.9" customHeight="1">
      <c r="AD337" s="12"/>
      <c r="AE337" s="12"/>
      <c r="AF337" s="12"/>
    </row>
    <row r="338" spans="30:32" ht="12.9" customHeight="1">
      <c r="AD338" s="12"/>
      <c r="AE338" s="12"/>
      <c r="AF338" s="12"/>
    </row>
    <row r="339" spans="30:32" ht="12.9" customHeight="1">
      <c r="AD339" s="12"/>
      <c r="AE339" s="12"/>
      <c r="AF339" s="12"/>
    </row>
    <row r="340" spans="30:32" ht="12.9" customHeight="1">
      <c r="AD340" s="12"/>
      <c r="AE340" s="12"/>
      <c r="AF340" s="12"/>
    </row>
    <row r="341" spans="30:32" ht="12.9" customHeight="1">
      <c r="AD341" s="12"/>
      <c r="AE341" s="12"/>
      <c r="AF341" s="12"/>
    </row>
    <row r="342" spans="30:32" ht="12.9" customHeight="1">
      <c r="AD342" s="12"/>
      <c r="AE342" s="12"/>
      <c r="AF342" s="12"/>
    </row>
    <row r="343" spans="30:32" ht="12.9" customHeight="1">
      <c r="AD343" s="12"/>
      <c r="AE343" s="12"/>
      <c r="AF343" s="12"/>
    </row>
    <row r="344" spans="30:32" ht="12.9" customHeight="1">
      <c r="AD344" s="12"/>
      <c r="AE344" s="12"/>
      <c r="AF344" s="12"/>
    </row>
    <row r="345" spans="30:32" ht="12.9" customHeight="1">
      <c r="AD345" s="12"/>
      <c r="AE345" s="12"/>
      <c r="AF345" s="12"/>
    </row>
    <row r="346" spans="30:32" ht="12.9" customHeight="1">
      <c r="AD346" s="12"/>
      <c r="AE346" s="12"/>
      <c r="AF346" s="12"/>
    </row>
    <row r="347" spans="30:32" ht="12.9" customHeight="1">
      <c r="AD347" s="12"/>
      <c r="AE347" s="12"/>
      <c r="AF347" s="12"/>
    </row>
    <row r="348" spans="30:32" ht="12.9" customHeight="1">
      <c r="AD348" s="12"/>
      <c r="AE348" s="12"/>
      <c r="AF348" s="12"/>
    </row>
    <row r="349" spans="30:32" ht="12.9" customHeight="1">
      <c r="AD349" s="12"/>
      <c r="AE349" s="12"/>
      <c r="AF349" s="12"/>
    </row>
    <row r="350" spans="30:32" ht="12.9" customHeight="1">
      <c r="AD350" s="12"/>
      <c r="AE350" s="12"/>
      <c r="AF350" s="12"/>
    </row>
    <row r="351" spans="30:32" ht="12.9" customHeight="1">
      <c r="AD351" s="12"/>
      <c r="AE351" s="12"/>
      <c r="AF351" s="12"/>
    </row>
    <row r="352" spans="30:32" ht="12.9" customHeight="1">
      <c r="AD352" s="12"/>
      <c r="AE352" s="12"/>
      <c r="AF352" s="12"/>
    </row>
    <row r="353" spans="30:32" ht="12.9" customHeight="1">
      <c r="AD353" s="12"/>
      <c r="AE353" s="12"/>
      <c r="AF353" s="12"/>
    </row>
    <row r="354" spans="30:32" ht="12.9" customHeight="1">
      <c r="AD354" s="12"/>
      <c r="AE354" s="12"/>
      <c r="AF354" s="12"/>
    </row>
    <row r="355" spans="30:32" ht="12.9" customHeight="1">
      <c r="AD355" s="12"/>
      <c r="AE355" s="12"/>
      <c r="AF355" s="12"/>
    </row>
    <row r="356" spans="30:32" ht="12.9" customHeight="1">
      <c r="AD356" s="12"/>
      <c r="AE356" s="12"/>
      <c r="AF356" s="12"/>
    </row>
    <row r="357" spans="30:32" ht="12.9" customHeight="1">
      <c r="AD357" s="12"/>
      <c r="AE357" s="12"/>
      <c r="AF357" s="12"/>
    </row>
    <row r="358" spans="30:32" ht="12.9" customHeight="1">
      <c r="AD358" s="12"/>
      <c r="AE358" s="12"/>
      <c r="AF358" s="12"/>
    </row>
    <row r="359" spans="30:32" ht="12.9" customHeight="1">
      <c r="AD359" s="12"/>
      <c r="AE359" s="12"/>
      <c r="AF359" s="12"/>
    </row>
    <row r="360" spans="30:32" ht="12.9" customHeight="1">
      <c r="AD360" s="12"/>
      <c r="AE360" s="12"/>
      <c r="AF360" s="12"/>
    </row>
    <row r="361" spans="30:32" ht="12.9" customHeight="1">
      <c r="AD361" s="12"/>
      <c r="AE361" s="12"/>
      <c r="AF361" s="12"/>
    </row>
    <row r="362" spans="30:32" ht="12.9" customHeight="1">
      <c r="AD362" s="12"/>
      <c r="AE362" s="12"/>
      <c r="AF362" s="12"/>
    </row>
    <row r="363" spans="30:32" ht="12.9" customHeight="1">
      <c r="AD363" s="12"/>
      <c r="AE363" s="12"/>
      <c r="AF363" s="12"/>
    </row>
    <row r="364" spans="30:32" ht="12.9" customHeight="1">
      <c r="AD364" s="12"/>
      <c r="AE364" s="12"/>
      <c r="AF364" s="12"/>
    </row>
    <row r="365" spans="30:32" ht="12.9" customHeight="1">
      <c r="AD365" s="12"/>
      <c r="AE365" s="12"/>
      <c r="AF365" s="12"/>
    </row>
    <row r="366" spans="30:32" ht="12.9" customHeight="1">
      <c r="AD366" s="12"/>
      <c r="AE366" s="12"/>
      <c r="AF366" s="12"/>
    </row>
    <row r="367" spans="30:32" ht="12.9" customHeight="1">
      <c r="AD367" s="12"/>
      <c r="AE367" s="12"/>
      <c r="AF367" s="12"/>
    </row>
    <row r="368" spans="30:32" ht="12.9" customHeight="1">
      <c r="AD368" s="12"/>
      <c r="AE368" s="12"/>
      <c r="AF368" s="12"/>
    </row>
    <row r="369" spans="30:32" ht="12.9" customHeight="1">
      <c r="AD369" s="12"/>
      <c r="AE369" s="12"/>
      <c r="AF369" s="12"/>
    </row>
    <row r="370" spans="30:32" ht="12.9" customHeight="1">
      <c r="AD370" s="12"/>
      <c r="AE370" s="12"/>
      <c r="AF370" s="12"/>
    </row>
    <row r="371" spans="30:32" ht="12.9" customHeight="1">
      <c r="AD371" s="12"/>
      <c r="AE371" s="12"/>
      <c r="AF371" s="12"/>
    </row>
    <row r="372" spans="30:32" ht="12.9" customHeight="1">
      <c r="AD372" s="12"/>
      <c r="AE372" s="12"/>
      <c r="AF372" s="12"/>
    </row>
    <row r="373" spans="30:32" ht="12.9" customHeight="1">
      <c r="AD373" s="12"/>
      <c r="AE373" s="12"/>
      <c r="AF373" s="12"/>
    </row>
    <row r="374" spans="30:32" ht="12.9" customHeight="1">
      <c r="AD374" s="12"/>
      <c r="AE374" s="12"/>
      <c r="AF374" s="12"/>
    </row>
    <row r="375" spans="30:32" ht="12.9" customHeight="1">
      <c r="AD375" s="12"/>
      <c r="AE375" s="12"/>
      <c r="AF375" s="12"/>
    </row>
    <row r="376" spans="30:32" ht="12.9" customHeight="1">
      <c r="AD376" s="12"/>
      <c r="AE376" s="12"/>
      <c r="AF376" s="12"/>
    </row>
    <row r="377" spans="30:32" ht="12.9" customHeight="1">
      <c r="AD377" s="12"/>
      <c r="AE377" s="12"/>
      <c r="AF377" s="12"/>
    </row>
    <row r="378" spans="30:32" ht="12.9" customHeight="1">
      <c r="AD378" s="12"/>
      <c r="AE378" s="12"/>
      <c r="AF378" s="12"/>
    </row>
    <row r="379" spans="30:32" ht="12.9" customHeight="1">
      <c r="AD379" s="12"/>
      <c r="AE379" s="12"/>
      <c r="AF379" s="12"/>
    </row>
    <row r="380" spans="30:32" ht="12.9" customHeight="1">
      <c r="AD380" s="12"/>
      <c r="AE380" s="12"/>
      <c r="AF380" s="12"/>
    </row>
    <row r="381" spans="30:32" ht="12.9" customHeight="1">
      <c r="AD381" s="12"/>
      <c r="AE381" s="12"/>
      <c r="AF381" s="12"/>
    </row>
    <row r="382" spans="30:32" ht="12.9" customHeight="1">
      <c r="AD382" s="12"/>
      <c r="AE382" s="12"/>
      <c r="AF382" s="12"/>
    </row>
    <row r="383" spans="30:32" ht="12.9" customHeight="1">
      <c r="AD383" s="12"/>
      <c r="AE383" s="12"/>
      <c r="AF383" s="12"/>
    </row>
    <row r="384" spans="30:32" ht="12.9" customHeight="1">
      <c r="AD384" s="12"/>
      <c r="AE384" s="12"/>
      <c r="AF384" s="12"/>
    </row>
    <row r="385" spans="30:32" ht="12.9" customHeight="1">
      <c r="AD385" s="12"/>
      <c r="AE385" s="12"/>
      <c r="AF385" s="12"/>
    </row>
    <row r="386" spans="30:32" ht="12.9" customHeight="1">
      <c r="AD386" s="12"/>
      <c r="AE386" s="12"/>
      <c r="AF386" s="12"/>
    </row>
    <row r="387" spans="30:32" ht="12.9" customHeight="1">
      <c r="AD387" s="12"/>
      <c r="AE387" s="12"/>
      <c r="AF387" s="12"/>
    </row>
    <row r="388" spans="30:32" ht="12.9" customHeight="1">
      <c r="AD388" s="12"/>
      <c r="AE388" s="12"/>
      <c r="AF388" s="12"/>
    </row>
    <row r="389" spans="30:32" ht="12.9" customHeight="1">
      <c r="AD389" s="12"/>
      <c r="AE389" s="12"/>
      <c r="AF389" s="12"/>
    </row>
    <row r="390" spans="30:32" ht="12.9" customHeight="1">
      <c r="AD390" s="12"/>
      <c r="AE390" s="12"/>
      <c r="AF390" s="12"/>
    </row>
    <row r="391" spans="30:32" ht="12.9" customHeight="1">
      <c r="AD391" s="12"/>
      <c r="AE391" s="12"/>
      <c r="AF391" s="12"/>
    </row>
    <row r="392" spans="30:32" ht="12.9" customHeight="1">
      <c r="AD392" s="12"/>
      <c r="AE392" s="12"/>
      <c r="AF392" s="12"/>
    </row>
    <row r="393" spans="30:32" ht="12.9" customHeight="1">
      <c r="AD393" s="12"/>
      <c r="AE393" s="12"/>
      <c r="AF393" s="12"/>
    </row>
    <row r="394" spans="30:32" ht="12.9" customHeight="1">
      <c r="AD394" s="12"/>
      <c r="AE394" s="12"/>
      <c r="AF394" s="12"/>
    </row>
    <row r="395" spans="30:32" ht="12.9" customHeight="1">
      <c r="AD395" s="12"/>
      <c r="AE395" s="12"/>
      <c r="AF395" s="12"/>
    </row>
    <row r="396" spans="30:32" ht="12.9" customHeight="1">
      <c r="AD396" s="12"/>
      <c r="AE396" s="12"/>
      <c r="AF396" s="12"/>
    </row>
    <row r="397" spans="30:32" ht="12.9" customHeight="1">
      <c r="AD397" s="12"/>
      <c r="AE397" s="12"/>
      <c r="AF397" s="12"/>
    </row>
    <row r="398" spans="30:32" ht="12.9" customHeight="1">
      <c r="AD398" s="12"/>
      <c r="AE398" s="12"/>
      <c r="AF398" s="12"/>
    </row>
    <row r="399" spans="30:32" ht="12.9" customHeight="1">
      <c r="AD399" s="12"/>
      <c r="AE399" s="12"/>
      <c r="AF399" s="12"/>
    </row>
    <row r="400" spans="30:32" ht="12.9" customHeight="1">
      <c r="AD400" s="12"/>
      <c r="AE400" s="12"/>
      <c r="AF400" s="12"/>
    </row>
    <row r="401" spans="30:32" ht="12.9" customHeight="1">
      <c r="AD401" s="12"/>
      <c r="AE401" s="12"/>
      <c r="AF401" s="12"/>
    </row>
    <row r="402" spans="30:32" ht="12.9" customHeight="1">
      <c r="AD402" s="12"/>
      <c r="AE402" s="12"/>
      <c r="AF402" s="12"/>
    </row>
    <row r="403" spans="30:32" ht="12.9" customHeight="1">
      <c r="AD403" s="12"/>
      <c r="AE403" s="12"/>
      <c r="AF403" s="12"/>
    </row>
    <row r="404" spans="30:32" ht="12.9" customHeight="1">
      <c r="AD404" s="12"/>
      <c r="AE404" s="12"/>
      <c r="AF404" s="12"/>
    </row>
    <row r="405" spans="30:32" ht="12.9" customHeight="1">
      <c r="AD405" s="12"/>
      <c r="AE405" s="12"/>
      <c r="AF405" s="12"/>
    </row>
    <row r="406" spans="30:32" ht="12.9" customHeight="1">
      <c r="AD406" s="12"/>
      <c r="AE406" s="12"/>
      <c r="AF406" s="12"/>
    </row>
    <row r="407" spans="30:32" ht="12.9" customHeight="1">
      <c r="AD407" s="12"/>
      <c r="AE407" s="12"/>
      <c r="AF407" s="12"/>
    </row>
    <row r="408" spans="30:32" ht="12.9" customHeight="1">
      <c r="AD408" s="12"/>
      <c r="AE408" s="12"/>
      <c r="AF408" s="12"/>
    </row>
    <row r="409" spans="30:32" ht="12.9" customHeight="1">
      <c r="AD409" s="12"/>
      <c r="AE409" s="12"/>
      <c r="AF409" s="12"/>
    </row>
    <row r="410" spans="30:32" ht="12.9" customHeight="1">
      <c r="AD410" s="12"/>
      <c r="AE410" s="12"/>
      <c r="AF410" s="12"/>
    </row>
    <row r="411" spans="30:32" ht="12.9" customHeight="1">
      <c r="AD411" s="12"/>
      <c r="AE411" s="12"/>
      <c r="AF411" s="12"/>
    </row>
    <row r="412" spans="30:32" ht="12.9" customHeight="1">
      <c r="AD412" s="12"/>
      <c r="AE412" s="12"/>
      <c r="AF412" s="12"/>
    </row>
    <row r="413" spans="30:32" ht="12.9" customHeight="1">
      <c r="AD413" s="12"/>
      <c r="AE413" s="12"/>
      <c r="AF413" s="12"/>
    </row>
    <row r="414" spans="30:32" ht="12.9" customHeight="1">
      <c r="AD414" s="12"/>
      <c r="AE414" s="12"/>
      <c r="AF414" s="12"/>
    </row>
    <row r="415" spans="30:32" ht="12.9" customHeight="1">
      <c r="AD415" s="12"/>
      <c r="AE415" s="12"/>
      <c r="AF415" s="12"/>
    </row>
    <row r="416" spans="30:32" ht="12.9" customHeight="1">
      <c r="AD416" s="12"/>
      <c r="AE416" s="12"/>
      <c r="AF416" s="12"/>
    </row>
    <row r="417" spans="30:32" ht="12.9" customHeight="1">
      <c r="AD417" s="12"/>
      <c r="AE417" s="12"/>
      <c r="AF417" s="12"/>
    </row>
    <row r="418" spans="30:32" ht="12.9" customHeight="1">
      <c r="AD418" s="12"/>
      <c r="AE418" s="12"/>
      <c r="AF418" s="12"/>
    </row>
    <row r="419" spans="30:32" ht="12.9" customHeight="1">
      <c r="AD419" s="12"/>
      <c r="AE419" s="12"/>
      <c r="AF419" s="12"/>
    </row>
    <row r="420" spans="30:32" ht="12.9" customHeight="1">
      <c r="AD420" s="12"/>
      <c r="AE420" s="12"/>
      <c r="AF420" s="12"/>
    </row>
    <row r="421" spans="30:32" ht="12.9" customHeight="1">
      <c r="AD421" s="12"/>
      <c r="AE421" s="12"/>
      <c r="AF421" s="12"/>
    </row>
    <row r="422" spans="30:32" ht="12.9" customHeight="1">
      <c r="AD422" s="12"/>
      <c r="AE422" s="12"/>
      <c r="AF422" s="12"/>
    </row>
    <row r="423" spans="30:32" ht="12.9" customHeight="1">
      <c r="AD423" s="12"/>
      <c r="AE423" s="12"/>
      <c r="AF423" s="12"/>
    </row>
    <row r="424" spans="30:32" ht="12.9" customHeight="1">
      <c r="AD424" s="12"/>
      <c r="AE424" s="12"/>
      <c r="AF424" s="12"/>
    </row>
    <row r="425" spans="30:32" ht="12.9" customHeight="1">
      <c r="AD425" s="12"/>
      <c r="AE425" s="12"/>
      <c r="AF425" s="12"/>
    </row>
    <row r="426" spans="30:32" ht="12.9" customHeight="1">
      <c r="AD426" s="12"/>
      <c r="AE426" s="12"/>
      <c r="AF426" s="12"/>
    </row>
    <row r="427" spans="30:32" ht="12.9" customHeight="1">
      <c r="AD427" s="12"/>
      <c r="AE427" s="12"/>
      <c r="AF427" s="12"/>
    </row>
    <row r="428" spans="30:32" ht="12.9" customHeight="1">
      <c r="AD428" s="12"/>
      <c r="AE428" s="12"/>
      <c r="AF428" s="12"/>
    </row>
    <row r="429" spans="30:32" ht="12.9" customHeight="1">
      <c r="AD429" s="12"/>
      <c r="AE429" s="12"/>
      <c r="AF429" s="12"/>
    </row>
    <row r="430" spans="30:32" ht="12.9" customHeight="1">
      <c r="AD430" s="12"/>
      <c r="AE430" s="12"/>
      <c r="AF430" s="12"/>
    </row>
    <row r="431" spans="30:32" ht="12.9" customHeight="1">
      <c r="AD431" s="12"/>
      <c r="AE431" s="12"/>
      <c r="AF431" s="12"/>
    </row>
    <row r="432" spans="30:32" ht="12.9" customHeight="1">
      <c r="AD432" s="12"/>
      <c r="AE432" s="12"/>
      <c r="AF432" s="12"/>
    </row>
    <row r="433" spans="30:32" ht="12.9" customHeight="1">
      <c r="AD433" s="12"/>
      <c r="AE433" s="12"/>
      <c r="AF433" s="12"/>
    </row>
    <row r="434" spans="30:32" ht="12.9" customHeight="1">
      <c r="AD434" s="12"/>
      <c r="AE434" s="12"/>
      <c r="AF434" s="12"/>
    </row>
    <row r="435" spans="30:32" ht="12.9" customHeight="1">
      <c r="AD435" s="12"/>
      <c r="AE435" s="12"/>
      <c r="AF435" s="12"/>
    </row>
    <row r="436" spans="30:32" ht="12.9" customHeight="1">
      <c r="AD436" s="12"/>
      <c r="AE436" s="12"/>
      <c r="AF436" s="12"/>
    </row>
    <row r="437" spans="30:32" ht="12.9" customHeight="1">
      <c r="AD437" s="12"/>
      <c r="AE437" s="12"/>
      <c r="AF437" s="12"/>
    </row>
    <row r="438" spans="30:32" ht="12.9" customHeight="1">
      <c r="AD438" s="12"/>
      <c r="AE438" s="12"/>
      <c r="AF438" s="12"/>
    </row>
    <row r="439" spans="30:32" ht="12.9" customHeight="1">
      <c r="AD439" s="12"/>
      <c r="AE439" s="12"/>
      <c r="AF439" s="12"/>
    </row>
    <row r="440" spans="30:32" ht="12.9" customHeight="1">
      <c r="AD440" s="12"/>
      <c r="AE440" s="12"/>
      <c r="AF440" s="12"/>
    </row>
    <row r="441" spans="30:32" ht="12.9" customHeight="1">
      <c r="AD441" s="12"/>
      <c r="AE441" s="12"/>
      <c r="AF441" s="12"/>
    </row>
    <row r="442" spans="30:32" ht="12.9" customHeight="1">
      <c r="AD442" s="12"/>
      <c r="AE442" s="12"/>
      <c r="AF442" s="12"/>
    </row>
    <row r="443" spans="30:32" ht="12.9" customHeight="1">
      <c r="AD443" s="12"/>
      <c r="AE443" s="12"/>
      <c r="AF443" s="12"/>
    </row>
    <row r="444" spans="30:32" ht="12.9" customHeight="1">
      <c r="AD444" s="12"/>
      <c r="AE444" s="12"/>
      <c r="AF444" s="12"/>
    </row>
    <row r="445" spans="30:32" ht="12.9" customHeight="1">
      <c r="AD445" s="12"/>
      <c r="AE445" s="12"/>
      <c r="AF445" s="12"/>
    </row>
    <row r="446" spans="30:32" ht="12.9" customHeight="1">
      <c r="AD446" s="12"/>
      <c r="AE446" s="12"/>
      <c r="AF446" s="12"/>
    </row>
    <row r="447" spans="30:32" ht="12.9" customHeight="1">
      <c r="AD447" s="12"/>
      <c r="AE447" s="12"/>
      <c r="AF447" s="12"/>
    </row>
    <row r="448" spans="30:32" ht="12.9" customHeight="1">
      <c r="AD448" s="12"/>
      <c r="AE448" s="12"/>
      <c r="AF448" s="12"/>
    </row>
    <row r="449" spans="30:32" ht="12.9" customHeight="1">
      <c r="AD449" s="12"/>
      <c r="AE449" s="12"/>
      <c r="AF449" s="12"/>
    </row>
    <row r="450" spans="30:32" ht="12.9" customHeight="1">
      <c r="AD450" s="12"/>
      <c r="AE450" s="12"/>
      <c r="AF450" s="12"/>
    </row>
    <row r="451" spans="30:32" ht="12.9" customHeight="1">
      <c r="AD451" s="12"/>
      <c r="AE451" s="12"/>
      <c r="AF451" s="12"/>
    </row>
    <row r="452" spans="30:32" ht="12.9" customHeight="1">
      <c r="AD452" s="12"/>
      <c r="AE452" s="12"/>
      <c r="AF452" s="12"/>
    </row>
    <row r="453" spans="30:32" ht="12.9" customHeight="1">
      <c r="AD453" s="12"/>
      <c r="AE453" s="12"/>
      <c r="AF453" s="12"/>
    </row>
    <row r="454" spans="30:32" ht="12.9" customHeight="1">
      <c r="AD454" s="12"/>
      <c r="AE454" s="12"/>
      <c r="AF454" s="12"/>
    </row>
    <row r="455" spans="30:32" ht="12.9" customHeight="1">
      <c r="AD455" s="12"/>
      <c r="AE455" s="12"/>
      <c r="AF455" s="12"/>
    </row>
    <row r="456" spans="30:32" ht="12.9" customHeight="1">
      <c r="AD456" s="12"/>
      <c r="AE456" s="12"/>
      <c r="AF456" s="12"/>
    </row>
    <row r="457" spans="30:32" ht="12.9" customHeight="1">
      <c r="AD457" s="12"/>
      <c r="AE457" s="12"/>
      <c r="AF457" s="12"/>
    </row>
    <row r="458" spans="30:32" ht="12.9" customHeight="1">
      <c r="AD458" s="12"/>
      <c r="AE458" s="12"/>
      <c r="AF458" s="12"/>
    </row>
    <row r="459" spans="30:32" ht="12.9" customHeight="1">
      <c r="AD459" s="12"/>
      <c r="AE459" s="12"/>
      <c r="AF459" s="12"/>
    </row>
    <row r="460" spans="30:32" ht="12.9" customHeight="1">
      <c r="AD460" s="12"/>
      <c r="AE460" s="12"/>
      <c r="AF460" s="12"/>
    </row>
    <row r="461" spans="30:32" ht="12.9" customHeight="1">
      <c r="AD461" s="12"/>
      <c r="AE461" s="12"/>
      <c r="AF461" s="12"/>
    </row>
    <row r="462" spans="30:32" ht="12.9" customHeight="1">
      <c r="AD462" s="12"/>
      <c r="AE462" s="12"/>
      <c r="AF462" s="12"/>
    </row>
    <row r="463" spans="30:32" ht="12.9" customHeight="1">
      <c r="AD463" s="12"/>
      <c r="AE463" s="12"/>
      <c r="AF463" s="12"/>
    </row>
    <row r="464" spans="30:32" ht="12.9" customHeight="1">
      <c r="AD464" s="12"/>
      <c r="AE464" s="12"/>
      <c r="AF464" s="12"/>
    </row>
    <row r="465" spans="30:32" ht="12.9" customHeight="1">
      <c r="AD465" s="12"/>
      <c r="AE465" s="12"/>
      <c r="AF465" s="12"/>
    </row>
    <row r="466" spans="30:32" ht="12.9" customHeight="1">
      <c r="AD466" s="12"/>
      <c r="AE466" s="12"/>
      <c r="AF466" s="12"/>
    </row>
    <row r="467" spans="30:32" ht="12.9" customHeight="1">
      <c r="AD467" s="12"/>
      <c r="AE467" s="12"/>
      <c r="AF467" s="12"/>
    </row>
    <row r="468" spans="30:32" ht="12.9" customHeight="1">
      <c r="AD468" s="12"/>
      <c r="AE468" s="12"/>
      <c r="AF468" s="12"/>
    </row>
    <row r="469" spans="30:32" ht="12.9" customHeight="1">
      <c r="AD469" s="12"/>
      <c r="AE469" s="12"/>
      <c r="AF469" s="12"/>
    </row>
    <row r="470" spans="30:32" ht="12.9" customHeight="1">
      <c r="AD470" s="12"/>
      <c r="AE470" s="12"/>
      <c r="AF470" s="12"/>
    </row>
    <row r="471" spans="30:32" ht="12.9" customHeight="1">
      <c r="AD471" s="12"/>
      <c r="AE471" s="12"/>
      <c r="AF471" s="12"/>
    </row>
    <row r="472" spans="30:32" ht="12.9" customHeight="1">
      <c r="AD472" s="12"/>
      <c r="AE472" s="12"/>
      <c r="AF472" s="12"/>
    </row>
    <row r="473" spans="30:32" ht="12.9" customHeight="1">
      <c r="AD473" s="12"/>
      <c r="AE473" s="12"/>
      <c r="AF473" s="12"/>
    </row>
    <row r="474" spans="30:32" ht="12.9" customHeight="1">
      <c r="AD474" s="12"/>
      <c r="AE474" s="12"/>
      <c r="AF474" s="12"/>
    </row>
    <row r="475" spans="30:32" ht="12.9" customHeight="1">
      <c r="AD475" s="12"/>
      <c r="AE475" s="12"/>
      <c r="AF475" s="12"/>
    </row>
    <row r="476" spans="30:32" ht="12.9" customHeight="1">
      <c r="AD476" s="12"/>
      <c r="AE476" s="12"/>
      <c r="AF476" s="12"/>
    </row>
    <row r="477" spans="30:32" ht="12.9" customHeight="1">
      <c r="AD477" s="12"/>
      <c r="AE477" s="12"/>
      <c r="AF477" s="12"/>
    </row>
    <row r="478" spans="30:32" ht="12.9" customHeight="1">
      <c r="AD478" s="12"/>
      <c r="AE478" s="12"/>
      <c r="AF478" s="12"/>
    </row>
    <row r="479" spans="30:32" ht="12.9" customHeight="1">
      <c r="AD479" s="12"/>
      <c r="AE479" s="12"/>
      <c r="AF479" s="12"/>
    </row>
    <row r="480" spans="30:32" ht="12.9" customHeight="1">
      <c r="AD480" s="12"/>
      <c r="AE480" s="12"/>
      <c r="AF480" s="12"/>
    </row>
    <row r="481" spans="30:32" ht="12.9" customHeight="1">
      <c r="AD481" s="12"/>
      <c r="AE481" s="12"/>
      <c r="AF481" s="12"/>
    </row>
    <row r="482" spans="30:32" ht="12.9" customHeight="1">
      <c r="AD482" s="12"/>
      <c r="AE482" s="12"/>
      <c r="AF482" s="12"/>
    </row>
    <row r="483" spans="30:32" ht="12.9" customHeight="1">
      <c r="AD483" s="12"/>
      <c r="AE483" s="12"/>
      <c r="AF483" s="12"/>
    </row>
    <row r="484" spans="30:32" ht="12.9" customHeight="1">
      <c r="AD484" s="12"/>
      <c r="AE484" s="12"/>
      <c r="AF484" s="12"/>
    </row>
    <row r="485" spans="30:32" ht="12.9" customHeight="1">
      <c r="AD485" s="12"/>
      <c r="AE485" s="12"/>
      <c r="AF485" s="12"/>
    </row>
    <row r="486" spans="30:32" ht="12.9" customHeight="1">
      <c r="AD486" s="12"/>
      <c r="AE486" s="12"/>
      <c r="AF486" s="12"/>
    </row>
    <row r="487" spans="30:32" ht="12.9" customHeight="1">
      <c r="AD487" s="12"/>
      <c r="AE487" s="12"/>
      <c r="AF487" s="12"/>
    </row>
    <row r="488" spans="30:32" ht="12.9" customHeight="1">
      <c r="AD488" s="12"/>
      <c r="AE488" s="12"/>
      <c r="AF488" s="12"/>
    </row>
    <row r="489" spans="30:32" ht="12.9" customHeight="1">
      <c r="AD489" s="12"/>
      <c r="AE489" s="12"/>
      <c r="AF489" s="12"/>
    </row>
    <row r="490" spans="30:32" ht="12.9" customHeight="1">
      <c r="AD490" s="12"/>
      <c r="AE490" s="12"/>
      <c r="AF490" s="12"/>
    </row>
    <row r="491" spans="30:32" ht="12.9" customHeight="1">
      <c r="AD491" s="12"/>
      <c r="AE491" s="12"/>
      <c r="AF491" s="12"/>
    </row>
    <row r="492" spans="30:32" ht="12.9" customHeight="1">
      <c r="AD492" s="12"/>
      <c r="AE492" s="12"/>
      <c r="AF492" s="12"/>
    </row>
    <row r="493" spans="30:32" ht="12.9" customHeight="1">
      <c r="AD493" s="12"/>
      <c r="AE493" s="12"/>
      <c r="AF493" s="12"/>
    </row>
    <row r="494" spans="30:32" ht="12.9" customHeight="1">
      <c r="AD494" s="12"/>
      <c r="AE494" s="12"/>
      <c r="AF494" s="12"/>
    </row>
    <row r="495" spans="30:32" ht="12.9" customHeight="1">
      <c r="AD495" s="12"/>
      <c r="AE495" s="12"/>
      <c r="AF495" s="12"/>
    </row>
    <row r="496" spans="30:32" ht="12.9" customHeight="1">
      <c r="AD496" s="12"/>
      <c r="AE496" s="12"/>
      <c r="AF496" s="12"/>
    </row>
    <row r="497" spans="30:32" ht="12.9" customHeight="1">
      <c r="AD497" s="12"/>
      <c r="AE497" s="12"/>
      <c r="AF497" s="12"/>
    </row>
    <row r="498" spans="30:32" ht="12.9" customHeight="1">
      <c r="AD498" s="12"/>
      <c r="AE498" s="12"/>
      <c r="AF498" s="12"/>
    </row>
    <row r="499" spans="30:32" ht="12.9" customHeight="1">
      <c r="AD499" s="12"/>
      <c r="AE499" s="12"/>
      <c r="AF499" s="12"/>
    </row>
    <row r="500" spans="30:32" ht="12.9" customHeight="1">
      <c r="AD500" s="12"/>
      <c r="AE500" s="12"/>
      <c r="AF500" s="12"/>
    </row>
    <row r="501" spans="30:32" ht="12.9" customHeight="1">
      <c r="AD501" s="12"/>
      <c r="AE501" s="12"/>
      <c r="AF501" s="12"/>
    </row>
    <row r="502" spans="30:32" ht="12.9" customHeight="1">
      <c r="AD502" s="12"/>
      <c r="AE502" s="12"/>
      <c r="AF502" s="12"/>
    </row>
    <row r="503" spans="30:32" ht="12.9" customHeight="1">
      <c r="AD503" s="12"/>
      <c r="AE503" s="12"/>
      <c r="AF503" s="12"/>
    </row>
    <row r="504" spans="30:32" ht="12.9" customHeight="1">
      <c r="AD504" s="12"/>
      <c r="AE504" s="12"/>
      <c r="AF504" s="12"/>
    </row>
    <row r="505" spans="30:32" ht="12.9" customHeight="1">
      <c r="AD505" s="12"/>
      <c r="AE505" s="12"/>
      <c r="AF505" s="12"/>
    </row>
    <row r="506" spans="30:32" ht="12.9" customHeight="1">
      <c r="AD506" s="12"/>
      <c r="AE506" s="12"/>
      <c r="AF506" s="12"/>
    </row>
    <row r="507" spans="30:32" ht="12.9" customHeight="1">
      <c r="AD507" s="12"/>
      <c r="AE507" s="12"/>
      <c r="AF507" s="12"/>
    </row>
    <row r="508" spans="30:32" ht="12.9" customHeight="1">
      <c r="AD508" s="12"/>
      <c r="AE508" s="12"/>
      <c r="AF508" s="12"/>
    </row>
    <row r="509" spans="30:32" ht="12.9" customHeight="1">
      <c r="AD509" s="12"/>
      <c r="AE509" s="12"/>
      <c r="AF509" s="12"/>
    </row>
    <row r="510" spans="30:32" ht="12.9" customHeight="1">
      <c r="AD510" s="12"/>
      <c r="AE510" s="12"/>
      <c r="AF510" s="12"/>
    </row>
    <row r="511" spans="30:32" ht="12.9" customHeight="1">
      <c r="AD511" s="12"/>
      <c r="AE511" s="12"/>
      <c r="AF511" s="12"/>
    </row>
    <row r="512" spans="30:32" ht="12.9" customHeight="1">
      <c r="AD512" s="12"/>
      <c r="AE512" s="12"/>
      <c r="AF512" s="12"/>
    </row>
    <row r="513" spans="30:32" ht="12.9" customHeight="1">
      <c r="AD513" s="12"/>
      <c r="AE513" s="12"/>
      <c r="AF513" s="12"/>
    </row>
    <row r="514" spans="30:32" ht="12.9" customHeight="1">
      <c r="AD514" s="12"/>
      <c r="AE514" s="12"/>
      <c r="AF514" s="12"/>
    </row>
    <row r="515" spans="30:32" ht="12.9" customHeight="1">
      <c r="AD515" s="12"/>
      <c r="AE515" s="12"/>
      <c r="AF515" s="12"/>
    </row>
    <row r="516" spans="30:32" ht="12.9" customHeight="1">
      <c r="AD516" s="12"/>
      <c r="AE516" s="12"/>
      <c r="AF516" s="12"/>
    </row>
    <row r="517" spans="30:32" ht="12.9" customHeight="1">
      <c r="AD517" s="12"/>
      <c r="AE517" s="12"/>
      <c r="AF517" s="12"/>
    </row>
    <row r="518" spans="30:32" ht="12.9" customHeight="1">
      <c r="AD518" s="12"/>
      <c r="AE518" s="12"/>
      <c r="AF518" s="12"/>
    </row>
    <row r="519" spans="30:32" ht="12.9" customHeight="1">
      <c r="AD519" s="12"/>
      <c r="AE519" s="12"/>
      <c r="AF519" s="12"/>
    </row>
    <row r="520" spans="30:32" ht="12.9" customHeight="1">
      <c r="AD520" s="12"/>
      <c r="AE520" s="12"/>
      <c r="AF520" s="12"/>
    </row>
    <row r="521" spans="30:32" ht="12.9" customHeight="1">
      <c r="AD521" s="12"/>
      <c r="AE521" s="12"/>
      <c r="AF521" s="12"/>
    </row>
    <row r="522" spans="30:32" ht="12.9" customHeight="1">
      <c r="AD522" s="12"/>
      <c r="AE522" s="12"/>
      <c r="AF522" s="12"/>
    </row>
    <row r="523" spans="30:32" ht="12.9" customHeight="1">
      <c r="AD523" s="12"/>
      <c r="AE523" s="12"/>
      <c r="AF523" s="12"/>
    </row>
    <row r="524" spans="30:32" ht="12.9" customHeight="1">
      <c r="AD524" s="12"/>
      <c r="AE524" s="12"/>
      <c r="AF524" s="12"/>
    </row>
    <row r="525" spans="30:32" ht="12.9" customHeight="1">
      <c r="AD525" s="12"/>
      <c r="AE525" s="12"/>
      <c r="AF525" s="12"/>
    </row>
    <row r="526" spans="30:32" ht="12.9" customHeight="1">
      <c r="AD526" s="12"/>
      <c r="AE526" s="12"/>
      <c r="AF526" s="12"/>
    </row>
    <row r="527" spans="30:32" ht="12.9" customHeight="1">
      <c r="AD527" s="12"/>
      <c r="AE527" s="12"/>
      <c r="AF527" s="12"/>
    </row>
    <row r="528" spans="30:32" ht="12.9" customHeight="1">
      <c r="AD528" s="12"/>
      <c r="AE528" s="12"/>
      <c r="AF528" s="12"/>
    </row>
    <row r="529" spans="30:32" ht="12.9" customHeight="1">
      <c r="AD529" s="12"/>
      <c r="AE529" s="12"/>
      <c r="AF529" s="12"/>
    </row>
    <row r="530" spans="30:32" ht="12.9" customHeight="1">
      <c r="AD530" s="12"/>
      <c r="AE530" s="12"/>
      <c r="AF530" s="12"/>
    </row>
    <row r="531" spans="30:32" ht="12.9" customHeight="1">
      <c r="AD531" s="12"/>
      <c r="AE531" s="12"/>
      <c r="AF531" s="12"/>
    </row>
    <row r="532" spans="30:32" ht="12.9" customHeight="1">
      <c r="AD532" s="12"/>
      <c r="AE532" s="12"/>
      <c r="AF532" s="12"/>
    </row>
    <row r="533" spans="30:32" ht="12.9" customHeight="1">
      <c r="AD533" s="12"/>
      <c r="AE533" s="12"/>
      <c r="AF533" s="12"/>
    </row>
    <row r="534" spans="30:32" ht="12.9" customHeight="1">
      <c r="AD534" s="12"/>
      <c r="AE534" s="12"/>
      <c r="AF534" s="12"/>
    </row>
    <row r="535" spans="30:32" ht="12.9" customHeight="1">
      <c r="AD535" s="12"/>
      <c r="AE535" s="12"/>
      <c r="AF535" s="12"/>
    </row>
    <row r="536" spans="30:32" ht="12.9" customHeight="1">
      <c r="AD536" s="12"/>
      <c r="AE536" s="12"/>
      <c r="AF536" s="12"/>
    </row>
    <row r="537" spans="30:32" ht="12.9" customHeight="1">
      <c r="AD537" s="12"/>
      <c r="AE537" s="12"/>
      <c r="AF537" s="12"/>
    </row>
    <row r="538" spans="30:32" ht="12.9" customHeight="1">
      <c r="AD538" s="12"/>
      <c r="AE538" s="12"/>
      <c r="AF538" s="12"/>
    </row>
    <row r="539" spans="30:32" ht="12.9" customHeight="1">
      <c r="AD539" s="12"/>
      <c r="AE539" s="12"/>
      <c r="AF539" s="12"/>
    </row>
    <row r="540" spans="30:32" ht="12.9" customHeight="1">
      <c r="AD540" s="12"/>
      <c r="AE540" s="12"/>
      <c r="AF540" s="12"/>
    </row>
    <row r="541" spans="30:32" ht="12.9" customHeight="1">
      <c r="AD541" s="12"/>
      <c r="AE541" s="12"/>
      <c r="AF541" s="12"/>
    </row>
    <row r="542" spans="30:32" ht="12.9" customHeight="1">
      <c r="AD542" s="12"/>
      <c r="AE542" s="12"/>
      <c r="AF542" s="12"/>
    </row>
    <row r="543" spans="30:32" ht="12.9" customHeight="1">
      <c r="AD543" s="12"/>
      <c r="AE543" s="12"/>
      <c r="AF543" s="12"/>
    </row>
    <row r="544" spans="30:32" ht="12.9" customHeight="1">
      <c r="AD544" s="12"/>
      <c r="AE544" s="12"/>
      <c r="AF544" s="12"/>
    </row>
    <row r="545" spans="30:32" ht="12.9" customHeight="1">
      <c r="AD545" s="12"/>
      <c r="AE545" s="12"/>
      <c r="AF545" s="12"/>
    </row>
    <row r="546" spans="30:32" ht="12.9" customHeight="1">
      <c r="AD546" s="12"/>
      <c r="AE546" s="12"/>
      <c r="AF546" s="12"/>
    </row>
    <row r="547" spans="30:32" ht="12.9" customHeight="1">
      <c r="AD547" s="12"/>
      <c r="AE547" s="12"/>
      <c r="AF547" s="12"/>
    </row>
    <row r="548" spans="30:32" ht="12.9" customHeight="1">
      <c r="AD548" s="12"/>
      <c r="AE548" s="12"/>
      <c r="AF548" s="12"/>
    </row>
    <row r="549" spans="30:32" ht="12.9" customHeight="1">
      <c r="AD549" s="12"/>
      <c r="AE549" s="12"/>
      <c r="AF549" s="12"/>
    </row>
    <row r="550" spans="30:32" ht="12.9" customHeight="1">
      <c r="AD550" s="12"/>
      <c r="AE550" s="12"/>
      <c r="AF550" s="12"/>
    </row>
    <row r="551" spans="30:32" ht="12.9" customHeight="1">
      <c r="AD551" s="12"/>
      <c r="AE551" s="12"/>
      <c r="AF551" s="12"/>
    </row>
    <row r="552" spans="30:32" ht="12.9" customHeight="1">
      <c r="AD552" s="12"/>
      <c r="AE552" s="12"/>
      <c r="AF552" s="12"/>
    </row>
    <row r="553" spans="30:32" ht="12.9" customHeight="1">
      <c r="AD553" s="12"/>
      <c r="AE553" s="12"/>
      <c r="AF553" s="12"/>
    </row>
    <row r="554" spans="30:32" ht="12.9" customHeight="1">
      <c r="AD554" s="12"/>
      <c r="AE554" s="12"/>
      <c r="AF554" s="12"/>
    </row>
    <row r="555" spans="30:32" ht="12.9" customHeight="1">
      <c r="AD555" s="12"/>
      <c r="AE555" s="12"/>
      <c r="AF555" s="12"/>
    </row>
    <row r="556" spans="30:32" ht="12.9" customHeight="1">
      <c r="AD556" s="12"/>
      <c r="AE556" s="12"/>
      <c r="AF556" s="12"/>
    </row>
    <row r="557" spans="30:32" ht="12.9" customHeight="1">
      <c r="AD557" s="12"/>
      <c r="AE557" s="12"/>
      <c r="AF557" s="12"/>
    </row>
    <row r="558" spans="30:32" ht="12.9" customHeight="1">
      <c r="AD558" s="12"/>
      <c r="AE558" s="12"/>
      <c r="AF558" s="12"/>
    </row>
    <row r="559" spans="30:32" ht="12.9" customHeight="1">
      <c r="AD559" s="12"/>
      <c r="AE559" s="12"/>
      <c r="AF559" s="12"/>
    </row>
    <row r="560" spans="30:32" ht="12.9" customHeight="1">
      <c r="AD560" s="12"/>
      <c r="AE560" s="12"/>
      <c r="AF560" s="12"/>
    </row>
    <row r="561" spans="30:32" ht="12.9" customHeight="1">
      <c r="AD561" s="12"/>
      <c r="AE561" s="12"/>
      <c r="AF561" s="12"/>
    </row>
    <row r="562" spans="30:32" ht="12.9" customHeight="1">
      <c r="AD562" s="12"/>
      <c r="AE562" s="12"/>
      <c r="AF562" s="12"/>
    </row>
    <row r="563" spans="30:32" ht="12.9" customHeight="1">
      <c r="AD563" s="12"/>
      <c r="AE563" s="12"/>
      <c r="AF563" s="12"/>
    </row>
  </sheetData>
  <sheetProtection algorithmName="SHA-512" hashValue="07Z8F2xFR/6Zy75zDG5BzeSg8kjQvPxhBCVjgBk9kpD/hoCxy2LBEwWKQloaGGk6kFM5ikbagIbnTfYyzabrJw==" saltValue="FqJEbpxOcnEIbh6kruNgTA==" spinCount="100000" sheet="1" objects="1" scenarios="1" formatCells="0"/>
  <phoneticPr fontId="5"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
  <sheetViews>
    <sheetView workbookViewId="0"/>
  </sheetViews>
  <sheetFormatPr defaultColWidth="9.26953125" defaultRowHeight="14.5"/>
  <cols>
    <col min="1" max="1" width="102.36328125" style="31" customWidth="1"/>
    <col min="2" max="16384" width="9.26953125" style="31"/>
  </cols>
  <sheetData>
    <row r="1" ht="409.5" customHeight="1"/>
  </sheetData>
  <sheetProtection algorithmName="SHA-512" hashValue="JZvpXe1uwVL6HiWYBHYhQnVXXx6ZuSeFqPD2S5i8W1BOvX/iN6wxETTluoSgBTk34v7qeP+p3SnyCOkVj+LW/Q==" saltValue="N8BnH9xBDhicism5xExtmQ==" spinCount="100000" sheet="1" objects="1" scenarios="1" formatCells="0"/>
  <phoneticPr fontId="5" type="noConversion"/>
  <pageMargins left="0.7" right="0.7" top="0.75" bottom="0.75" header="0.3" footer="0.3"/>
  <drawing r:id="rId1"/>
  <legacyDrawing r:id="rId2"/>
  <controls>
    <mc:AlternateContent xmlns:mc="http://schemas.openxmlformats.org/markup-compatibility/2006">
      <mc:Choice Requires="x14">
        <control shapeId="6152" r:id="rId3" name="CommandButton2">
          <controlPr autoLine="0" autoPict="0" r:id="rId4">
            <anchor moveWithCells="1">
              <from>
                <xdr:col>0</xdr:col>
                <xdr:colOff>5778500</xdr:colOff>
                <xdr:row>0</xdr:row>
                <xdr:rowOff>2438400</xdr:rowOff>
              </from>
              <to>
                <xdr:col>0</xdr:col>
                <xdr:colOff>8267700</xdr:colOff>
                <xdr:row>0</xdr:row>
                <xdr:rowOff>3194050</xdr:rowOff>
              </to>
            </anchor>
          </controlPr>
        </control>
      </mc:Choice>
      <mc:Fallback>
        <control shapeId="6152" r:id="rId3" name="CommandButton2"/>
      </mc:Fallback>
    </mc:AlternateContent>
    <mc:AlternateContent xmlns:mc="http://schemas.openxmlformats.org/markup-compatibility/2006">
      <mc:Choice Requires="x14">
        <control shapeId="6151" r:id="rId5" name="CommandButton7">
          <controlPr autoLine="0" r:id="rId6">
            <anchor moveWithCells="1">
              <from>
                <xdr:col>1</xdr:col>
                <xdr:colOff>0</xdr:colOff>
                <xdr:row>0</xdr:row>
                <xdr:rowOff>1587500</xdr:rowOff>
              </from>
              <to>
                <xdr:col>4</xdr:col>
                <xdr:colOff>127000</xdr:colOff>
                <xdr:row>0</xdr:row>
                <xdr:rowOff>2076450</xdr:rowOff>
              </to>
            </anchor>
          </controlPr>
        </control>
      </mc:Choice>
      <mc:Fallback>
        <control shapeId="6151" r:id="rId5" name="CommandButton7"/>
      </mc:Fallback>
    </mc:AlternateContent>
    <mc:AlternateContent xmlns:mc="http://schemas.openxmlformats.org/markup-compatibility/2006">
      <mc:Choice Requires="x14">
        <control shapeId="6150" r:id="rId7" name="CommandButton6">
          <controlPr autoLine="0" r:id="rId8">
            <anchor moveWithCells="1">
              <from>
                <xdr:col>0</xdr:col>
                <xdr:colOff>2921000</xdr:colOff>
                <xdr:row>0</xdr:row>
                <xdr:rowOff>1568450</xdr:rowOff>
              </from>
              <to>
                <xdr:col>0</xdr:col>
                <xdr:colOff>4991100</xdr:colOff>
                <xdr:row>0</xdr:row>
                <xdr:rowOff>2057400</xdr:rowOff>
              </to>
            </anchor>
          </controlPr>
        </control>
      </mc:Choice>
      <mc:Fallback>
        <control shapeId="6150" r:id="rId7" name="CommandButton6"/>
      </mc:Fallback>
    </mc:AlternateContent>
    <mc:AlternateContent xmlns:mc="http://schemas.openxmlformats.org/markup-compatibility/2006">
      <mc:Choice Requires="x14">
        <control shapeId="6149" r:id="rId9" name="CommandButton5">
          <controlPr autoLine="0" r:id="rId10">
            <anchor moveWithCells="1">
              <from>
                <xdr:col>1</xdr:col>
                <xdr:colOff>0</xdr:colOff>
                <xdr:row>0</xdr:row>
                <xdr:rowOff>165100</xdr:rowOff>
              </from>
              <to>
                <xdr:col>4</xdr:col>
                <xdr:colOff>127000</xdr:colOff>
                <xdr:row>0</xdr:row>
                <xdr:rowOff>654050</xdr:rowOff>
              </to>
            </anchor>
          </controlPr>
        </control>
      </mc:Choice>
      <mc:Fallback>
        <control shapeId="6149" r:id="rId9" name="CommandButton5"/>
      </mc:Fallback>
    </mc:AlternateContent>
    <mc:AlternateContent xmlns:mc="http://schemas.openxmlformats.org/markup-compatibility/2006">
      <mc:Choice Requires="x14">
        <control shapeId="6148" r:id="rId11" name="CmdBtnDeletePaper">
          <controlPr autoLine="0" r:id="rId12">
            <anchor moveWithCells="1">
              <from>
                <xdr:col>0</xdr:col>
                <xdr:colOff>2914650</xdr:colOff>
                <xdr:row>0</xdr:row>
                <xdr:rowOff>171450</xdr:rowOff>
              </from>
              <to>
                <xdr:col>0</xdr:col>
                <xdr:colOff>4984750</xdr:colOff>
                <xdr:row>0</xdr:row>
                <xdr:rowOff>660400</xdr:rowOff>
              </to>
            </anchor>
          </controlPr>
        </control>
      </mc:Choice>
      <mc:Fallback>
        <control shapeId="6148" r:id="rId11" name="CmdBtnDeletePaper"/>
      </mc:Fallback>
    </mc:AlternateContent>
    <mc:AlternateContent xmlns:mc="http://schemas.openxmlformats.org/markup-compatibility/2006">
      <mc:Choice Requires="x14">
        <control shapeId="6147" r:id="rId13" name="CmdBtnSetDataValidation">
          <controlPr autoLine="0" autoPict="0" r:id="rId14">
            <anchor moveWithCells="1">
              <from>
                <xdr:col>0</xdr:col>
                <xdr:colOff>254000</xdr:colOff>
                <xdr:row>0</xdr:row>
                <xdr:rowOff>1562100</xdr:rowOff>
              </from>
              <to>
                <xdr:col>0</xdr:col>
                <xdr:colOff>2813050</xdr:colOff>
                <xdr:row>0</xdr:row>
                <xdr:rowOff>2152650</xdr:rowOff>
              </to>
            </anchor>
          </controlPr>
        </control>
      </mc:Choice>
      <mc:Fallback>
        <control shapeId="6147" r:id="rId13" name="CmdBtnSetDataValidation"/>
      </mc:Fallback>
    </mc:AlternateContent>
    <mc:AlternateContent xmlns:mc="http://schemas.openxmlformats.org/markup-compatibility/2006">
      <mc:Choice Requires="x14">
        <control shapeId="6146" r:id="rId15" name="CmdBtnInitialiseCheckListSystem">
          <controlPr autoLine="0" autoPict="0" r:id="rId16">
            <anchor moveWithCells="1">
              <from>
                <xdr:col>0</xdr:col>
                <xdr:colOff>254000</xdr:colOff>
                <xdr:row>0</xdr:row>
                <xdr:rowOff>1028700</xdr:rowOff>
              </from>
              <to>
                <xdr:col>0</xdr:col>
                <xdr:colOff>2832100</xdr:colOff>
                <xdr:row>0</xdr:row>
                <xdr:rowOff>1390650</xdr:rowOff>
              </to>
            </anchor>
          </controlPr>
        </control>
      </mc:Choice>
      <mc:Fallback>
        <control shapeId="6146" r:id="rId15" name="CmdBtnInitialiseCheckListSystem"/>
      </mc:Fallback>
    </mc:AlternateContent>
    <mc:AlternateContent xmlns:mc="http://schemas.openxmlformats.org/markup-compatibility/2006">
      <mc:Choice Requires="x14">
        <control shapeId="6145" r:id="rId17" name="CommandButton1">
          <controlPr autoLine="0" r:id="rId18">
            <anchor moveWithCells="1">
              <from>
                <xdr:col>0</xdr:col>
                <xdr:colOff>241300</xdr:colOff>
                <xdr:row>0</xdr:row>
                <xdr:rowOff>152400</xdr:rowOff>
              </from>
              <to>
                <xdr:col>0</xdr:col>
                <xdr:colOff>2393950</xdr:colOff>
                <xdr:row>0</xdr:row>
                <xdr:rowOff>704850</xdr:rowOff>
              </to>
            </anchor>
          </controlPr>
        </control>
      </mc:Choice>
      <mc:Fallback>
        <control shapeId="6145" r:id="rId17" name="CommandButton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U63"/>
  <sheetViews>
    <sheetView tabSelected="1" topLeftCell="F1" workbookViewId="0">
      <selection activeCell="J9" sqref="J9"/>
    </sheetView>
  </sheetViews>
  <sheetFormatPr defaultColWidth="9.1796875" defaultRowHeight="14.5"/>
  <cols>
    <col min="1" max="1" width="2.81640625" style="151" bestFit="1" customWidth="1"/>
    <col min="2" max="2" width="2.81640625" customWidth="1"/>
    <col min="3" max="3" width="14.36328125" style="54" customWidth="1"/>
    <col min="4" max="4" width="12.36328125" style="49" customWidth="1"/>
    <col min="5" max="5" width="49" style="54" customWidth="1"/>
    <col min="6" max="6" width="17.1796875" bestFit="1" customWidth="1"/>
    <col min="7" max="7" width="11.36328125" customWidth="1"/>
    <col min="8" max="8" width="10.81640625" customWidth="1"/>
    <col min="9" max="9" width="11.54296875" customWidth="1"/>
    <col min="10" max="10" width="11.54296875" style="47" customWidth="1"/>
    <col min="12" max="12" width="2.81640625" style="47" customWidth="1"/>
    <col min="13" max="13" width="14.26953125" style="56" customWidth="1"/>
    <col min="14" max="14" width="10.7265625" style="56" customWidth="1"/>
    <col min="15" max="15" width="12.7265625" style="56" customWidth="1"/>
    <col min="16" max="16" width="9.54296875" style="56" customWidth="1"/>
    <col min="17" max="17" width="4.81640625" style="56" customWidth="1"/>
    <col min="18" max="18" width="11.81640625" style="56" customWidth="1"/>
    <col min="19" max="20" width="9.26953125" style="56"/>
    <col min="21" max="21" width="9.26953125" style="47"/>
  </cols>
  <sheetData>
    <row r="1" spans="1:21" ht="39.5" thickBot="1">
      <c r="A1" s="224" t="s">
        <v>85</v>
      </c>
      <c r="B1" s="225"/>
      <c r="C1" s="226"/>
      <c r="D1" s="48" t="s">
        <v>99</v>
      </c>
      <c r="E1" s="145" t="s">
        <v>100</v>
      </c>
      <c r="F1" s="61" t="s">
        <v>101</v>
      </c>
      <c r="G1" s="62" t="s">
        <v>102</v>
      </c>
      <c r="H1" s="63" t="s">
        <v>96</v>
      </c>
      <c r="I1" s="63" t="s">
        <v>90</v>
      </c>
      <c r="J1" s="63" t="s">
        <v>97</v>
      </c>
      <c r="K1" s="50" t="s">
        <v>89</v>
      </c>
      <c r="L1" s="53"/>
      <c r="M1" s="80" t="s">
        <v>93</v>
      </c>
      <c r="N1" s="80" t="s">
        <v>92</v>
      </c>
      <c r="O1" s="80" t="s">
        <v>91</v>
      </c>
      <c r="P1" s="78" t="s">
        <v>94</v>
      </c>
      <c r="Q1" s="55"/>
      <c r="R1" s="82" t="s">
        <v>111</v>
      </c>
      <c r="S1" s="83" t="s">
        <v>112</v>
      </c>
      <c r="T1" s="83" t="s">
        <v>113</v>
      </c>
      <c r="U1" s="82" t="s">
        <v>110</v>
      </c>
    </row>
    <row r="2" spans="1:21" ht="20" customHeight="1" thickBot="1">
      <c r="A2" s="204" t="s">
        <v>130</v>
      </c>
      <c r="B2" s="148" t="s">
        <v>37</v>
      </c>
      <c r="C2" s="141" t="s">
        <v>126</v>
      </c>
      <c r="D2" s="102">
        <v>1</v>
      </c>
      <c r="E2" s="146" t="s">
        <v>206</v>
      </c>
      <c r="F2" s="176" t="s">
        <v>88</v>
      </c>
      <c r="G2" s="175">
        <v>2</v>
      </c>
      <c r="H2" s="84">
        <v>2</v>
      </c>
      <c r="I2" s="84">
        <v>4</v>
      </c>
      <c r="J2" s="84">
        <v>6</v>
      </c>
      <c r="M2" s="81" t="s">
        <v>53</v>
      </c>
      <c r="N2" s="81">
        <v>5</v>
      </c>
      <c r="O2" s="81">
        <v>1</v>
      </c>
      <c r="P2" s="79">
        <v>5</v>
      </c>
      <c r="R2" s="81">
        <v>1</v>
      </c>
      <c r="S2" s="81">
        <v>0</v>
      </c>
      <c r="T2" s="81">
        <v>50</v>
      </c>
      <c r="U2" s="84" t="s">
        <v>114</v>
      </c>
    </row>
    <row r="3" spans="1:21" ht="20" customHeight="1" thickBot="1">
      <c r="A3" s="205"/>
      <c r="B3" s="148" t="s">
        <v>38</v>
      </c>
      <c r="C3" s="141" t="s">
        <v>207</v>
      </c>
      <c r="D3" s="102">
        <v>2</v>
      </c>
      <c r="E3" s="146" t="s">
        <v>208</v>
      </c>
      <c r="F3" s="176" t="s">
        <v>88</v>
      </c>
      <c r="G3" s="175">
        <v>1</v>
      </c>
      <c r="H3" s="84">
        <v>2</v>
      </c>
      <c r="I3" s="84">
        <v>5</v>
      </c>
      <c r="J3" s="84">
        <v>7</v>
      </c>
      <c r="M3" s="81" t="s">
        <v>95</v>
      </c>
      <c r="N3" s="81">
        <v>2</v>
      </c>
      <c r="O3" s="81">
        <v>2</v>
      </c>
      <c r="P3" s="79">
        <v>4</v>
      </c>
      <c r="R3" s="81">
        <v>2</v>
      </c>
      <c r="S3" s="81">
        <v>51</v>
      </c>
      <c r="T3" s="81">
        <v>79</v>
      </c>
      <c r="U3" s="84" t="s">
        <v>115</v>
      </c>
    </row>
    <row r="4" spans="1:21" ht="20" customHeight="1">
      <c r="A4" s="205"/>
      <c r="B4" s="181" t="s">
        <v>39</v>
      </c>
      <c r="C4" s="209" t="s">
        <v>209</v>
      </c>
      <c r="D4" s="102">
        <v>3</v>
      </c>
      <c r="E4" s="146" t="s">
        <v>210</v>
      </c>
      <c r="F4" s="176" t="s">
        <v>87</v>
      </c>
      <c r="G4" s="175">
        <v>1</v>
      </c>
      <c r="H4" s="84">
        <v>5</v>
      </c>
      <c r="I4" s="84">
        <v>5</v>
      </c>
      <c r="J4" s="84">
        <v>10</v>
      </c>
      <c r="M4" s="81"/>
      <c r="N4" s="81"/>
      <c r="O4" s="81">
        <v>3</v>
      </c>
      <c r="P4" s="81">
        <v>3</v>
      </c>
      <c r="Q4" s="57"/>
      <c r="R4" s="85">
        <v>3</v>
      </c>
      <c r="S4" s="85">
        <v>80</v>
      </c>
      <c r="T4" s="85">
        <v>100</v>
      </c>
      <c r="U4" s="86" t="s">
        <v>116</v>
      </c>
    </row>
    <row r="5" spans="1:21" ht="20" customHeight="1" thickBot="1">
      <c r="A5" s="205"/>
      <c r="B5" s="182"/>
      <c r="C5" s="210"/>
      <c r="D5" s="102">
        <v>4</v>
      </c>
      <c r="E5" s="146" t="s">
        <v>211</v>
      </c>
      <c r="F5" s="176" t="s">
        <v>88</v>
      </c>
      <c r="G5" s="175">
        <v>2</v>
      </c>
      <c r="H5" s="84">
        <v>2</v>
      </c>
      <c r="I5" s="84">
        <v>4</v>
      </c>
      <c r="J5" s="84">
        <v>6</v>
      </c>
      <c r="P5" s="110"/>
      <c r="Q5" s="110"/>
      <c r="R5" s="77"/>
    </row>
    <row r="6" spans="1:21" ht="20" customHeight="1" thickBot="1">
      <c r="A6" s="206"/>
      <c r="B6" s="148" t="s">
        <v>40</v>
      </c>
      <c r="C6" s="141" t="s">
        <v>128</v>
      </c>
      <c r="D6" s="102">
        <v>5</v>
      </c>
      <c r="E6" s="146" t="s">
        <v>212</v>
      </c>
      <c r="F6" s="176" t="s">
        <v>87</v>
      </c>
      <c r="G6" s="175">
        <v>2</v>
      </c>
      <c r="H6" s="84">
        <v>5</v>
      </c>
      <c r="I6" s="84">
        <v>4</v>
      </c>
      <c r="J6" s="84">
        <v>9</v>
      </c>
      <c r="R6" s="87"/>
    </row>
    <row r="7" spans="1:21" ht="20" customHeight="1" thickBot="1">
      <c r="A7" s="207" t="s">
        <v>129</v>
      </c>
      <c r="B7" s="148" t="s">
        <v>41</v>
      </c>
      <c r="C7" s="141" t="s">
        <v>213</v>
      </c>
      <c r="D7" s="102">
        <v>6</v>
      </c>
      <c r="E7" s="147" t="s">
        <v>214</v>
      </c>
      <c r="F7" s="176" t="s">
        <v>88</v>
      </c>
      <c r="G7" s="175">
        <v>3</v>
      </c>
      <c r="H7" s="84">
        <v>2</v>
      </c>
      <c r="I7" s="84">
        <v>3</v>
      </c>
      <c r="J7" s="84">
        <v>5</v>
      </c>
      <c r="R7" s="87"/>
    </row>
    <row r="8" spans="1:21" ht="20" customHeight="1">
      <c r="A8" s="208"/>
      <c r="B8" s="181" t="s">
        <v>42</v>
      </c>
      <c r="C8" s="209" t="s">
        <v>215</v>
      </c>
      <c r="D8" s="102">
        <v>7</v>
      </c>
      <c r="E8" s="146" t="s">
        <v>216</v>
      </c>
      <c r="F8" s="176" t="s">
        <v>87</v>
      </c>
      <c r="G8" s="175">
        <v>1</v>
      </c>
      <c r="H8" s="84">
        <v>5</v>
      </c>
      <c r="I8" s="84">
        <v>5</v>
      </c>
      <c r="J8" s="84">
        <v>10</v>
      </c>
      <c r="R8" s="87"/>
    </row>
    <row r="9" spans="1:21" ht="20" customHeight="1">
      <c r="A9" s="208"/>
      <c r="B9" s="183"/>
      <c r="C9" s="211"/>
      <c r="D9" s="102">
        <v>8</v>
      </c>
      <c r="E9" s="146" t="s">
        <v>219</v>
      </c>
      <c r="F9" s="176" t="s">
        <v>87</v>
      </c>
      <c r="G9" s="175">
        <v>1</v>
      </c>
      <c r="H9" s="84">
        <v>5</v>
      </c>
      <c r="I9" s="84">
        <v>5</v>
      </c>
      <c r="J9" s="84">
        <v>10</v>
      </c>
      <c r="R9" s="87"/>
    </row>
    <row r="10" spans="1:21" ht="20" customHeight="1">
      <c r="A10" s="208"/>
      <c r="B10" s="183"/>
      <c r="C10" s="211"/>
      <c r="D10" s="102">
        <v>9</v>
      </c>
      <c r="E10" s="146" t="s">
        <v>217</v>
      </c>
      <c r="F10" s="176" t="s">
        <v>87</v>
      </c>
      <c r="G10" s="175">
        <v>1</v>
      </c>
      <c r="H10" s="84">
        <v>5</v>
      </c>
      <c r="I10" s="84">
        <v>5</v>
      </c>
      <c r="J10" s="84">
        <v>10</v>
      </c>
      <c r="R10" s="87"/>
    </row>
    <row r="11" spans="1:21" ht="20" customHeight="1" thickBot="1">
      <c r="A11" s="208"/>
      <c r="B11" s="182"/>
      <c r="C11" s="210"/>
      <c r="D11" s="102">
        <v>10</v>
      </c>
      <c r="E11" s="146" t="s">
        <v>218</v>
      </c>
      <c r="F11" s="176" t="s">
        <v>88</v>
      </c>
      <c r="G11" s="175">
        <v>3</v>
      </c>
      <c r="H11" s="84">
        <v>2</v>
      </c>
      <c r="I11" s="84">
        <v>3</v>
      </c>
      <c r="J11" s="84">
        <v>5</v>
      </c>
      <c r="R11" s="87"/>
    </row>
    <row r="12" spans="1:21" ht="20" customHeight="1" thickBot="1">
      <c r="A12" s="208"/>
      <c r="B12" s="148" t="s">
        <v>43</v>
      </c>
      <c r="C12" s="141" t="s">
        <v>220</v>
      </c>
      <c r="D12" s="102">
        <v>11</v>
      </c>
      <c r="E12" s="146" t="s">
        <v>221</v>
      </c>
      <c r="F12" s="176" t="s">
        <v>87</v>
      </c>
      <c r="G12" s="175">
        <v>1</v>
      </c>
      <c r="H12" s="84">
        <v>5</v>
      </c>
      <c r="I12" s="84">
        <v>5</v>
      </c>
      <c r="J12" s="84">
        <v>10</v>
      </c>
      <c r="R12" s="87"/>
    </row>
    <row r="13" spans="1:21" ht="20" customHeight="1">
      <c r="A13" s="208"/>
      <c r="B13" s="181" t="s">
        <v>44</v>
      </c>
      <c r="C13" s="209" t="s">
        <v>222</v>
      </c>
      <c r="D13" s="102">
        <v>12</v>
      </c>
      <c r="E13" s="146" t="s">
        <v>223</v>
      </c>
      <c r="F13" s="176" t="s">
        <v>87</v>
      </c>
      <c r="G13" s="175">
        <v>1</v>
      </c>
      <c r="H13" s="84">
        <v>5</v>
      </c>
      <c r="I13" s="84">
        <v>5</v>
      </c>
      <c r="J13" s="84">
        <v>10</v>
      </c>
      <c r="R13" s="87"/>
    </row>
    <row r="14" spans="1:21" ht="20" customHeight="1" thickBot="1">
      <c r="A14" s="208"/>
      <c r="B14" s="182"/>
      <c r="C14" s="210"/>
      <c r="D14" s="102">
        <v>13</v>
      </c>
      <c r="E14" s="146" t="s">
        <v>224</v>
      </c>
      <c r="F14" s="176" t="s">
        <v>87</v>
      </c>
      <c r="G14" s="175">
        <v>1</v>
      </c>
      <c r="H14" s="84">
        <v>5</v>
      </c>
      <c r="I14" s="84">
        <v>5</v>
      </c>
      <c r="J14" s="84">
        <v>10</v>
      </c>
      <c r="R14" s="87"/>
    </row>
    <row r="15" spans="1:21" ht="20" customHeight="1">
      <c r="A15" s="208"/>
      <c r="B15" s="181" t="s">
        <v>45</v>
      </c>
      <c r="C15" s="209" t="s">
        <v>225</v>
      </c>
      <c r="D15" s="102">
        <v>14</v>
      </c>
      <c r="E15" s="147" t="s">
        <v>226</v>
      </c>
      <c r="F15" s="176" t="s">
        <v>87</v>
      </c>
      <c r="G15" s="175">
        <v>1</v>
      </c>
      <c r="H15" s="84">
        <v>5</v>
      </c>
      <c r="I15" s="84">
        <v>5</v>
      </c>
      <c r="J15" s="84">
        <v>10</v>
      </c>
      <c r="R15" s="87"/>
    </row>
    <row r="16" spans="1:21" ht="20" customHeight="1">
      <c r="A16" s="208"/>
      <c r="B16" s="183"/>
      <c r="C16" s="211"/>
      <c r="D16" s="102">
        <v>15</v>
      </c>
      <c r="E16" s="147" t="s">
        <v>227</v>
      </c>
      <c r="F16" s="176" t="s">
        <v>87</v>
      </c>
      <c r="G16" s="175">
        <v>1</v>
      </c>
      <c r="H16" s="84">
        <v>5</v>
      </c>
      <c r="I16" s="84">
        <v>5</v>
      </c>
      <c r="J16" s="84">
        <v>10</v>
      </c>
      <c r="P16" s="60"/>
      <c r="Q16" s="60"/>
    </row>
    <row r="17" spans="1:18" ht="20" customHeight="1" thickBot="1">
      <c r="A17" s="208"/>
      <c r="B17" s="182"/>
      <c r="C17" s="210"/>
      <c r="D17" s="102">
        <v>16</v>
      </c>
      <c r="E17" s="146" t="s">
        <v>228</v>
      </c>
      <c r="F17" s="176" t="s">
        <v>88</v>
      </c>
      <c r="G17" s="175">
        <v>3</v>
      </c>
      <c r="H17" s="84">
        <v>2</v>
      </c>
      <c r="I17" s="84">
        <v>3</v>
      </c>
      <c r="J17" s="84">
        <v>5</v>
      </c>
      <c r="P17" s="59"/>
      <c r="Q17" s="60"/>
    </row>
    <row r="18" spans="1:18" ht="20" customHeight="1">
      <c r="A18" s="208"/>
      <c r="B18" s="181" t="s">
        <v>46</v>
      </c>
      <c r="C18" s="209" t="s">
        <v>229</v>
      </c>
      <c r="D18" s="102">
        <v>17</v>
      </c>
      <c r="E18" s="146" t="s">
        <v>230</v>
      </c>
      <c r="F18" s="176" t="s">
        <v>87</v>
      </c>
      <c r="G18" s="175">
        <v>1</v>
      </c>
      <c r="H18" s="84">
        <v>5</v>
      </c>
      <c r="I18" s="84">
        <v>5</v>
      </c>
      <c r="J18" s="84">
        <v>10</v>
      </c>
      <c r="P18" s="58"/>
      <c r="Q18" s="58"/>
      <c r="R18" s="77"/>
    </row>
    <row r="19" spans="1:18" ht="20" customHeight="1">
      <c r="A19" s="208"/>
      <c r="B19" s="183"/>
      <c r="C19" s="211"/>
      <c r="D19" s="102">
        <v>18</v>
      </c>
      <c r="E19" s="146" t="s">
        <v>231</v>
      </c>
      <c r="F19" s="176" t="s">
        <v>88</v>
      </c>
      <c r="G19" s="175">
        <v>3</v>
      </c>
      <c r="H19" s="84">
        <v>2</v>
      </c>
      <c r="I19" s="84">
        <v>3</v>
      </c>
      <c r="J19" s="84">
        <v>5</v>
      </c>
      <c r="P19" s="60"/>
      <c r="R19" s="87"/>
    </row>
    <row r="20" spans="1:18" ht="20" customHeight="1" thickBot="1">
      <c r="A20" s="208"/>
      <c r="B20" s="182"/>
      <c r="C20" s="210"/>
      <c r="D20" s="102">
        <v>19</v>
      </c>
      <c r="E20" s="146" t="s">
        <v>232</v>
      </c>
      <c r="F20" s="176" t="s">
        <v>87</v>
      </c>
      <c r="G20" s="175">
        <v>1</v>
      </c>
      <c r="H20" s="84">
        <v>5</v>
      </c>
      <c r="I20" s="84">
        <v>5</v>
      </c>
      <c r="J20" s="84">
        <v>10</v>
      </c>
      <c r="P20" s="60"/>
      <c r="R20" s="87"/>
    </row>
    <row r="21" spans="1:18" ht="20" customHeight="1">
      <c r="A21" s="208"/>
      <c r="B21" s="181" t="s">
        <v>134</v>
      </c>
      <c r="C21" s="209" t="s">
        <v>233</v>
      </c>
      <c r="D21" s="102">
        <v>20</v>
      </c>
      <c r="E21" s="146" t="s">
        <v>234</v>
      </c>
      <c r="F21" s="176" t="s">
        <v>87</v>
      </c>
      <c r="G21" s="175">
        <v>2</v>
      </c>
      <c r="H21" s="84">
        <v>5</v>
      </c>
      <c r="I21" s="84">
        <v>4</v>
      </c>
      <c r="J21" s="84">
        <v>9</v>
      </c>
      <c r="P21" s="60"/>
      <c r="R21" s="87"/>
    </row>
    <row r="22" spans="1:18" ht="20" customHeight="1" thickBot="1">
      <c r="A22" s="208"/>
      <c r="B22" s="182"/>
      <c r="C22" s="210"/>
      <c r="D22" s="102">
        <v>21</v>
      </c>
      <c r="E22" s="146" t="s">
        <v>235</v>
      </c>
      <c r="F22" s="176" t="s">
        <v>88</v>
      </c>
      <c r="G22" s="175">
        <v>2</v>
      </c>
      <c r="H22" s="84">
        <v>2</v>
      </c>
      <c r="I22" s="84">
        <v>4</v>
      </c>
      <c r="J22" s="84">
        <v>6</v>
      </c>
      <c r="Q22" s="60"/>
    </row>
    <row r="23" spans="1:18" ht="20" customHeight="1" thickBot="1">
      <c r="A23" s="208"/>
      <c r="B23" s="148" t="s">
        <v>135</v>
      </c>
      <c r="C23" s="101" t="s">
        <v>236</v>
      </c>
      <c r="D23" s="102">
        <v>22</v>
      </c>
      <c r="E23" s="146" t="s">
        <v>237</v>
      </c>
      <c r="F23" s="176" t="s">
        <v>87</v>
      </c>
      <c r="G23" s="175">
        <v>1</v>
      </c>
      <c r="H23" s="84">
        <v>5</v>
      </c>
      <c r="I23" s="84">
        <v>5</v>
      </c>
      <c r="J23" s="84">
        <v>10</v>
      </c>
      <c r="P23" s="227"/>
      <c r="Q23" s="227"/>
      <c r="R23" s="227"/>
    </row>
    <row r="24" spans="1:18" ht="20" customHeight="1">
      <c r="A24" s="208"/>
      <c r="B24" s="181" t="s">
        <v>136</v>
      </c>
      <c r="C24" s="209" t="s">
        <v>238</v>
      </c>
      <c r="D24" s="102">
        <v>23</v>
      </c>
      <c r="E24" s="146" t="s">
        <v>239</v>
      </c>
      <c r="F24" s="176" t="s">
        <v>87</v>
      </c>
      <c r="G24" s="175">
        <v>1</v>
      </c>
      <c r="H24" s="84">
        <v>5</v>
      </c>
      <c r="I24" s="84">
        <v>5</v>
      </c>
      <c r="J24" s="84">
        <v>10</v>
      </c>
      <c r="P24" s="58"/>
      <c r="Q24" s="58"/>
      <c r="R24" s="77"/>
    </row>
    <row r="25" spans="1:18" ht="20" customHeight="1">
      <c r="A25" s="208"/>
      <c r="B25" s="183"/>
      <c r="C25" s="211"/>
      <c r="D25" s="102">
        <v>24</v>
      </c>
      <c r="E25" s="146" t="s">
        <v>240</v>
      </c>
      <c r="F25" s="176" t="s">
        <v>87</v>
      </c>
      <c r="G25" s="175">
        <v>1</v>
      </c>
      <c r="H25" s="84">
        <v>5</v>
      </c>
      <c r="I25" s="84">
        <v>5</v>
      </c>
      <c r="J25" s="84">
        <v>10</v>
      </c>
      <c r="P25" s="60"/>
      <c r="Q25" s="60"/>
      <c r="R25" s="87"/>
    </row>
    <row r="26" spans="1:18" ht="20" customHeight="1" thickBot="1">
      <c r="A26" s="208"/>
      <c r="B26" s="182"/>
      <c r="C26" s="210"/>
      <c r="D26" s="102">
        <v>25</v>
      </c>
      <c r="E26" s="146" t="s">
        <v>241</v>
      </c>
      <c r="F26" s="176" t="s">
        <v>88</v>
      </c>
      <c r="G26" s="175">
        <v>3</v>
      </c>
      <c r="H26" s="84">
        <v>2</v>
      </c>
      <c r="I26" s="84">
        <v>3</v>
      </c>
      <c r="J26" s="84">
        <v>5</v>
      </c>
      <c r="P26" s="60"/>
      <c r="Q26" s="60"/>
    </row>
    <row r="27" spans="1:18" ht="20" customHeight="1" thickBot="1">
      <c r="A27" s="218" t="s">
        <v>259</v>
      </c>
      <c r="B27" s="148" t="s">
        <v>137</v>
      </c>
      <c r="C27" s="141" t="s">
        <v>242</v>
      </c>
      <c r="D27" s="102">
        <v>26</v>
      </c>
      <c r="E27" s="146" t="s">
        <v>243</v>
      </c>
      <c r="F27" s="176" t="s">
        <v>87</v>
      </c>
      <c r="G27" s="175">
        <v>2</v>
      </c>
      <c r="H27" s="84">
        <v>5</v>
      </c>
      <c r="I27" s="84">
        <v>4</v>
      </c>
      <c r="J27" s="84">
        <v>9</v>
      </c>
      <c r="P27" s="60"/>
      <c r="Q27" s="60"/>
    </row>
    <row r="28" spans="1:18" ht="20" customHeight="1">
      <c r="A28" s="219"/>
      <c r="B28" s="181" t="s">
        <v>138</v>
      </c>
      <c r="C28" s="209" t="s">
        <v>244</v>
      </c>
      <c r="D28" s="102">
        <v>27</v>
      </c>
      <c r="E28" s="146" t="s">
        <v>245</v>
      </c>
      <c r="F28" s="176" t="s">
        <v>87</v>
      </c>
      <c r="G28" s="175">
        <v>1</v>
      </c>
      <c r="H28" s="84">
        <v>5</v>
      </c>
      <c r="I28" s="84">
        <v>5</v>
      </c>
      <c r="J28" s="84">
        <v>10</v>
      </c>
      <c r="P28" s="60"/>
      <c r="Q28" s="60"/>
    </row>
    <row r="29" spans="1:18" ht="20" customHeight="1" thickBot="1">
      <c r="A29" s="219"/>
      <c r="B29" s="182"/>
      <c r="C29" s="210"/>
      <c r="D29" s="102">
        <v>28</v>
      </c>
      <c r="E29" s="146" t="s">
        <v>246</v>
      </c>
      <c r="F29" s="176" t="s">
        <v>87</v>
      </c>
      <c r="G29" s="175">
        <v>1</v>
      </c>
      <c r="H29" s="84">
        <v>5</v>
      </c>
      <c r="I29" s="84">
        <v>5</v>
      </c>
      <c r="J29" s="84">
        <v>10</v>
      </c>
      <c r="P29" s="60"/>
      <c r="Q29" s="60"/>
    </row>
    <row r="30" spans="1:18" ht="20" customHeight="1" thickBot="1">
      <c r="A30" s="219"/>
      <c r="B30" s="148" t="s">
        <v>139</v>
      </c>
      <c r="C30" s="141" t="s">
        <v>247</v>
      </c>
      <c r="D30" s="102">
        <v>29</v>
      </c>
      <c r="E30" s="146" t="s">
        <v>248</v>
      </c>
      <c r="F30" s="176" t="s">
        <v>87</v>
      </c>
      <c r="G30" s="175">
        <v>1</v>
      </c>
      <c r="H30" s="84">
        <v>5</v>
      </c>
      <c r="I30" s="84">
        <v>5</v>
      </c>
      <c r="J30" s="84">
        <v>10</v>
      </c>
      <c r="P30" s="60"/>
      <c r="Q30" s="60"/>
    </row>
    <row r="31" spans="1:18" ht="20" customHeight="1">
      <c r="A31" s="219"/>
      <c r="B31" s="181" t="s">
        <v>140</v>
      </c>
      <c r="C31" s="209" t="s">
        <v>251</v>
      </c>
      <c r="D31" s="102">
        <v>30</v>
      </c>
      <c r="E31" s="146" t="s">
        <v>249</v>
      </c>
      <c r="F31" s="176" t="s">
        <v>87</v>
      </c>
      <c r="G31" s="175">
        <v>1</v>
      </c>
      <c r="H31" s="84">
        <v>5</v>
      </c>
      <c r="I31" s="84">
        <v>5</v>
      </c>
      <c r="J31" s="84">
        <v>10</v>
      </c>
      <c r="P31" s="60"/>
      <c r="Q31" s="60"/>
    </row>
    <row r="32" spans="1:18" ht="20" customHeight="1" thickBot="1">
      <c r="A32" s="220"/>
      <c r="B32" s="182"/>
      <c r="C32" s="210"/>
      <c r="D32" s="102">
        <v>31</v>
      </c>
      <c r="E32" s="146" t="s">
        <v>250</v>
      </c>
      <c r="F32" s="176" t="s">
        <v>87</v>
      </c>
      <c r="G32" s="175">
        <v>2</v>
      </c>
      <c r="H32" s="84">
        <v>5</v>
      </c>
      <c r="I32" s="84">
        <v>4</v>
      </c>
      <c r="J32" s="84">
        <v>9</v>
      </c>
      <c r="P32" s="60"/>
      <c r="Q32" s="60"/>
    </row>
    <row r="33" spans="1:17" ht="20" customHeight="1">
      <c r="A33" s="221" t="s">
        <v>260</v>
      </c>
      <c r="B33" s="181" t="s">
        <v>141</v>
      </c>
      <c r="C33" s="209" t="s">
        <v>255</v>
      </c>
      <c r="D33" s="102">
        <v>32</v>
      </c>
      <c r="E33" s="146" t="s">
        <v>252</v>
      </c>
      <c r="F33" s="176" t="s">
        <v>87</v>
      </c>
      <c r="G33" s="175">
        <v>1</v>
      </c>
      <c r="H33" s="84">
        <v>5</v>
      </c>
      <c r="I33" s="84">
        <v>5</v>
      </c>
      <c r="J33" s="84">
        <v>10</v>
      </c>
      <c r="P33" s="60"/>
      <c r="Q33" s="60"/>
    </row>
    <row r="34" spans="1:17" ht="20" customHeight="1">
      <c r="A34" s="222"/>
      <c r="B34" s="183"/>
      <c r="C34" s="211"/>
      <c r="D34" s="102">
        <v>33</v>
      </c>
      <c r="E34" s="146" t="s">
        <v>253</v>
      </c>
      <c r="F34" s="176" t="s">
        <v>88</v>
      </c>
      <c r="G34" s="175">
        <v>2</v>
      </c>
      <c r="H34" s="84">
        <v>2</v>
      </c>
      <c r="I34" s="84">
        <v>4</v>
      </c>
      <c r="J34" s="84">
        <v>6</v>
      </c>
      <c r="P34" s="60"/>
      <c r="Q34" s="60"/>
    </row>
    <row r="35" spans="1:17" ht="20" customHeight="1" thickBot="1">
      <c r="A35" s="222"/>
      <c r="B35" s="182"/>
      <c r="C35" s="210"/>
      <c r="D35" s="102">
        <v>34</v>
      </c>
      <c r="E35" s="146" t="s">
        <v>254</v>
      </c>
      <c r="F35" s="176" t="s">
        <v>88</v>
      </c>
      <c r="G35" s="175">
        <v>3</v>
      </c>
      <c r="H35" s="84">
        <v>2</v>
      </c>
      <c r="I35" s="84">
        <v>3</v>
      </c>
      <c r="J35" s="84">
        <v>5</v>
      </c>
      <c r="P35" s="60"/>
      <c r="Q35" s="60"/>
    </row>
    <row r="36" spans="1:17" ht="20" customHeight="1" thickBot="1">
      <c r="A36" s="222"/>
      <c r="B36" s="148" t="s">
        <v>142</v>
      </c>
      <c r="C36" s="143" t="s">
        <v>256</v>
      </c>
      <c r="D36" s="102">
        <v>35</v>
      </c>
      <c r="E36" s="146" t="s">
        <v>257</v>
      </c>
      <c r="F36" s="176" t="s">
        <v>88</v>
      </c>
      <c r="G36" s="175">
        <v>3</v>
      </c>
      <c r="H36" s="84">
        <v>2</v>
      </c>
      <c r="I36" s="84">
        <v>3</v>
      </c>
      <c r="J36" s="84">
        <v>5</v>
      </c>
      <c r="P36" s="60"/>
      <c r="Q36" s="60"/>
    </row>
    <row r="37" spans="1:17" ht="20" customHeight="1" thickBot="1">
      <c r="A37" s="223"/>
      <c r="B37" s="149" t="s">
        <v>143</v>
      </c>
      <c r="C37" s="101" t="s">
        <v>127</v>
      </c>
      <c r="D37" s="102">
        <v>36</v>
      </c>
      <c r="E37" s="146" t="s">
        <v>258</v>
      </c>
      <c r="F37" s="176" t="s">
        <v>87</v>
      </c>
      <c r="G37" s="175">
        <v>3</v>
      </c>
      <c r="H37" s="84">
        <v>5</v>
      </c>
      <c r="I37" s="84">
        <v>3</v>
      </c>
      <c r="J37" s="84">
        <v>8</v>
      </c>
      <c r="P37" s="60"/>
      <c r="Q37" s="60"/>
    </row>
    <row r="38" spans="1:17" ht="15" thickBot="1">
      <c r="A38" s="150"/>
      <c r="B38" s="46"/>
      <c r="C38" s="75" t="s">
        <v>109</v>
      </c>
      <c r="D38" s="76"/>
      <c r="E38" s="161" t="s">
        <v>103</v>
      </c>
      <c r="F38" s="162" t="s">
        <v>104</v>
      </c>
      <c r="G38" s="64"/>
      <c r="H38" s="65"/>
      <c r="I38" s="65"/>
      <c r="J38" s="66"/>
      <c r="K38" s="51"/>
    </row>
    <row r="39" spans="1:17">
      <c r="A39" s="150"/>
      <c r="B39" s="46"/>
      <c r="C39" s="75" t="s">
        <v>108</v>
      </c>
      <c r="D39" s="73" t="s">
        <v>37</v>
      </c>
      <c r="E39" s="67">
        <f>ROW(B2)</f>
        <v>2</v>
      </c>
      <c r="F39" s="67">
        <v>2</v>
      </c>
      <c r="G39" s="68"/>
      <c r="H39" s="68"/>
      <c r="I39" s="68"/>
      <c r="J39" s="69">
        <f>SUM(J2)</f>
        <v>6</v>
      </c>
      <c r="K39" s="52"/>
    </row>
    <row r="40" spans="1:17">
      <c r="A40" s="150"/>
      <c r="B40" s="46"/>
      <c r="C40" s="75" t="s">
        <v>108</v>
      </c>
      <c r="D40" s="74" t="s">
        <v>38</v>
      </c>
      <c r="E40" s="70">
        <f>F39+1</f>
        <v>3</v>
      </c>
      <c r="F40" s="70">
        <f>ROW(B4)-1</f>
        <v>3</v>
      </c>
      <c r="G40" s="70"/>
      <c r="H40" s="70"/>
      <c r="I40" s="70"/>
      <c r="J40" s="71">
        <f>SUM(J3)</f>
        <v>7</v>
      </c>
    </row>
    <row r="41" spans="1:17">
      <c r="A41" s="150"/>
      <c r="B41" s="46"/>
      <c r="C41" s="75" t="s">
        <v>108</v>
      </c>
      <c r="D41" s="74" t="s">
        <v>39</v>
      </c>
      <c r="E41" s="70">
        <f t="shared" ref="E41:E43" si="0">F40+1</f>
        <v>4</v>
      </c>
      <c r="F41" s="70">
        <f>ROW(B6)-1</f>
        <v>5</v>
      </c>
      <c r="G41" s="70"/>
      <c r="H41" s="70"/>
      <c r="I41" s="70"/>
      <c r="J41" s="71">
        <f>SUM(J4:J5)</f>
        <v>16</v>
      </c>
    </row>
    <row r="42" spans="1:17" ht="15" thickBot="1">
      <c r="A42" s="150"/>
      <c r="B42" s="99"/>
      <c r="C42" s="75" t="s">
        <v>108</v>
      </c>
      <c r="D42" s="105" t="s">
        <v>40</v>
      </c>
      <c r="E42" s="106">
        <v>6</v>
      </c>
      <c r="F42" s="106">
        <f>ROW(B7)-1</f>
        <v>6</v>
      </c>
      <c r="G42" s="106"/>
      <c r="H42" s="106"/>
      <c r="I42" s="106"/>
      <c r="J42" s="107">
        <f>SUM(J6)</f>
        <v>9</v>
      </c>
    </row>
    <row r="43" spans="1:17">
      <c r="A43" s="150"/>
      <c r="B43" s="46"/>
      <c r="C43" s="75" t="s">
        <v>108</v>
      </c>
      <c r="D43" s="152" t="s">
        <v>41</v>
      </c>
      <c r="E43" s="153">
        <f t="shared" si="0"/>
        <v>7</v>
      </c>
      <c r="F43" s="153">
        <f>ROW(B8)-1</f>
        <v>7</v>
      </c>
      <c r="G43" s="153"/>
      <c r="H43" s="153"/>
      <c r="I43" s="153"/>
      <c r="J43" s="154">
        <f>SUM(J7)</f>
        <v>5</v>
      </c>
    </row>
    <row r="44" spans="1:17">
      <c r="A44" s="150"/>
      <c r="B44" s="46"/>
      <c r="C44" s="75" t="s">
        <v>108</v>
      </c>
      <c r="D44" s="108" t="s">
        <v>42</v>
      </c>
      <c r="E44" s="72">
        <f>F43+1</f>
        <v>8</v>
      </c>
      <c r="F44" s="72">
        <f>ROW(B12)-1</f>
        <v>11</v>
      </c>
      <c r="G44" s="72"/>
      <c r="H44" s="72"/>
      <c r="I44" s="72"/>
      <c r="J44" s="109">
        <f>SUM(J8:J11)</f>
        <v>35</v>
      </c>
    </row>
    <row r="45" spans="1:17">
      <c r="A45" s="150"/>
      <c r="B45" s="99"/>
      <c r="C45" s="75" t="s">
        <v>108</v>
      </c>
      <c r="D45" s="108" t="s">
        <v>43</v>
      </c>
      <c r="E45" s="72">
        <f t="shared" ref="E45:E55" si="1">F44+1</f>
        <v>12</v>
      </c>
      <c r="F45" s="72">
        <f>ROW(B13)-1</f>
        <v>12</v>
      </c>
      <c r="G45" s="72"/>
      <c r="H45" s="72"/>
      <c r="I45" s="72"/>
      <c r="J45" s="109">
        <f>SUM(J12)</f>
        <v>10</v>
      </c>
    </row>
    <row r="46" spans="1:17">
      <c r="A46" s="150"/>
      <c r="B46" s="99"/>
      <c r="C46" s="75" t="s">
        <v>108</v>
      </c>
      <c r="D46" s="108" t="s">
        <v>44</v>
      </c>
      <c r="E46" s="72">
        <f t="shared" si="1"/>
        <v>13</v>
      </c>
      <c r="F46" s="72">
        <f>ROW(B15)-1</f>
        <v>14</v>
      </c>
      <c r="G46" s="72"/>
      <c r="H46" s="72"/>
      <c r="I46" s="72"/>
      <c r="J46" s="109">
        <f>SUM(J13:J14)</f>
        <v>20</v>
      </c>
    </row>
    <row r="47" spans="1:17">
      <c r="A47" s="150"/>
      <c r="B47" s="99"/>
      <c r="C47" s="75" t="s">
        <v>108</v>
      </c>
      <c r="D47" s="108" t="s">
        <v>45</v>
      </c>
      <c r="E47" s="72">
        <f t="shared" si="1"/>
        <v>15</v>
      </c>
      <c r="F47" s="72">
        <f>ROW(B18)-1</f>
        <v>17</v>
      </c>
      <c r="G47" s="72"/>
      <c r="H47" s="72"/>
      <c r="I47" s="72"/>
      <c r="J47" s="109">
        <f>SUM(J15:J17)</f>
        <v>25</v>
      </c>
    </row>
    <row r="48" spans="1:17">
      <c r="A48" s="150"/>
      <c r="B48" s="99"/>
      <c r="C48" s="75" t="s">
        <v>108</v>
      </c>
      <c r="D48" s="108" t="s">
        <v>46</v>
      </c>
      <c r="E48" s="72">
        <f t="shared" si="1"/>
        <v>18</v>
      </c>
      <c r="F48" s="72">
        <f>ROW(B21)-1</f>
        <v>20</v>
      </c>
      <c r="G48" s="72"/>
      <c r="H48" s="72"/>
      <c r="I48" s="72"/>
      <c r="J48" s="109">
        <f>SUM(J18:J20)</f>
        <v>25</v>
      </c>
    </row>
    <row r="49" spans="1:10">
      <c r="A49" s="150"/>
      <c r="B49" s="99"/>
      <c r="C49" s="75" t="s">
        <v>108</v>
      </c>
      <c r="D49" s="108" t="s">
        <v>134</v>
      </c>
      <c r="E49" s="72">
        <f t="shared" si="1"/>
        <v>21</v>
      </c>
      <c r="F49" s="72">
        <f>ROW(B23)-1</f>
        <v>22</v>
      </c>
      <c r="G49" s="72"/>
      <c r="H49" s="72"/>
      <c r="I49" s="72"/>
      <c r="J49" s="109">
        <f>SUM(J21:J22)</f>
        <v>15</v>
      </c>
    </row>
    <row r="50" spans="1:10">
      <c r="A50" s="150"/>
      <c r="B50" s="99"/>
      <c r="C50" s="75" t="s">
        <v>108</v>
      </c>
      <c r="D50" s="108" t="s">
        <v>135</v>
      </c>
      <c r="E50" s="72">
        <f t="shared" si="1"/>
        <v>23</v>
      </c>
      <c r="F50" s="72">
        <f>ROW(B24)-1</f>
        <v>23</v>
      </c>
      <c r="G50" s="72"/>
      <c r="H50" s="72"/>
      <c r="I50" s="72"/>
      <c r="J50" s="109">
        <f>SUM(J23)</f>
        <v>10</v>
      </c>
    </row>
    <row r="51" spans="1:10" ht="15" thickBot="1">
      <c r="A51" s="150"/>
      <c r="B51" s="99"/>
      <c r="C51" s="75" t="s">
        <v>108</v>
      </c>
      <c r="D51" s="155" t="s">
        <v>136</v>
      </c>
      <c r="E51" s="156">
        <f t="shared" si="1"/>
        <v>24</v>
      </c>
      <c r="F51" s="156">
        <f>ROW(B27)-1</f>
        <v>26</v>
      </c>
      <c r="G51" s="156"/>
      <c r="H51" s="156"/>
      <c r="I51" s="156"/>
      <c r="J51" s="157">
        <f>SUM(J24:J26)</f>
        <v>25</v>
      </c>
    </row>
    <row r="52" spans="1:10">
      <c r="A52" s="150"/>
      <c r="B52" s="99"/>
      <c r="C52" s="75" t="s">
        <v>108</v>
      </c>
      <c r="D52" s="124" t="s">
        <v>137</v>
      </c>
      <c r="E52" s="125">
        <f t="shared" si="1"/>
        <v>27</v>
      </c>
      <c r="F52" s="125">
        <f>ROW(B28)-1</f>
        <v>27</v>
      </c>
      <c r="G52" s="125"/>
      <c r="H52" s="125"/>
      <c r="I52" s="125"/>
      <c r="J52" s="126">
        <f>SUM(J27)</f>
        <v>9</v>
      </c>
    </row>
    <row r="53" spans="1:10">
      <c r="A53" s="150"/>
      <c r="B53" s="99"/>
      <c r="C53" s="75" t="s">
        <v>108</v>
      </c>
      <c r="D53" s="115" t="s">
        <v>138</v>
      </c>
      <c r="E53" s="116">
        <f t="shared" si="1"/>
        <v>28</v>
      </c>
      <c r="F53" s="116">
        <f>ROW(B30)-1</f>
        <v>29</v>
      </c>
      <c r="G53" s="116"/>
      <c r="H53" s="116"/>
      <c r="I53" s="116"/>
      <c r="J53" s="117">
        <f>SUM(J28:J29)</f>
        <v>20</v>
      </c>
    </row>
    <row r="54" spans="1:10">
      <c r="A54" s="150"/>
      <c r="B54" s="99"/>
      <c r="C54" s="75" t="s">
        <v>108</v>
      </c>
      <c r="D54" s="115" t="s">
        <v>139</v>
      </c>
      <c r="E54" s="116">
        <f t="shared" si="1"/>
        <v>30</v>
      </c>
      <c r="F54" s="116">
        <f>ROW(B31)-1</f>
        <v>30</v>
      </c>
      <c r="G54" s="116"/>
      <c r="H54" s="116"/>
      <c r="I54" s="116"/>
      <c r="J54" s="117">
        <f>SUM(J30)</f>
        <v>10</v>
      </c>
    </row>
    <row r="55" spans="1:10" ht="15" thickBot="1">
      <c r="A55" s="150"/>
      <c r="B55" s="46"/>
      <c r="C55" s="75" t="s">
        <v>108</v>
      </c>
      <c r="D55" s="158" t="s">
        <v>140</v>
      </c>
      <c r="E55" s="159">
        <f t="shared" si="1"/>
        <v>31</v>
      </c>
      <c r="F55" s="159">
        <f>ROW(B33)-1</f>
        <v>32</v>
      </c>
      <c r="G55" s="159"/>
      <c r="H55" s="159"/>
      <c r="I55" s="159"/>
      <c r="J55" s="160">
        <f>SUM(J31:J32)</f>
        <v>19</v>
      </c>
    </row>
    <row r="56" spans="1:10">
      <c r="A56" s="150"/>
      <c r="B56" s="46"/>
      <c r="C56" s="75" t="s">
        <v>108</v>
      </c>
      <c r="D56" s="118" t="s">
        <v>141</v>
      </c>
      <c r="E56" s="119">
        <f t="shared" ref="E56:E58" si="2">F55+1</f>
        <v>33</v>
      </c>
      <c r="F56" s="119">
        <f>ROW(F36)-1</f>
        <v>35</v>
      </c>
      <c r="G56" s="119"/>
      <c r="H56" s="119"/>
      <c r="I56" s="119"/>
      <c r="J56" s="120">
        <f>SUM(J33:J35)</f>
        <v>21</v>
      </c>
    </row>
    <row r="57" spans="1:10">
      <c r="A57" s="150"/>
      <c r="B57" s="99"/>
      <c r="C57" s="75" t="s">
        <v>108</v>
      </c>
      <c r="D57" s="121" t="s">
        <v>142</v>
      </c>
      <c r="E57" s="122">
        <f t="shared" si="2"/>
        <v>36</v>
      </c>
      <c r="F57" s="122">
        <f>ROW(F37)-1</f>
        <v>36</v>
      </c>
      <c r="G57" s="122"/>
      <c r="H57" s="122"/>
      <c r="I57" s="122"/>
      <c r="J57" s="123">
        <f>SUM(J36)</f>
        <v>5</v>
      </c>
    </row>
    <row r="58" spans="1:10" ht="15" thickBot="1">
      <c r="A58" s="150"/>
      <c r="B58" s="99"/>
      <c r="C58" s="75" t="s">
        <v>108</v>
      </c>
      <c r="D58" s="127" t="s">
        <v>143</v>
      </c>
      <c r="E58" s="128">
        <f t="shared" si="2"/>
        <v>37</v>
      </c>
      <c r="F58" s="128">
        <f>ROW(F38)-1</f>
        <v>37</v>
      </c>
      <c r="G58" s="128"/>
      <c r="H58" s="128"/>
      <c r="I58" s="128"/>
      <c r="J58" s="129">
        <f>SUM(J37)</f>
        <v>8</v>
      </c>
    </row>
    <row r="59" spans="1:10">
      <c r="A59" s="150"/>
      <c r="B59" s="46"/>
      <c r="C59" s="75"/>
      <c r="D59" s="132" t="s">
        <v>148</v>
      </c>
      <c r="E59" s="70">
        <f>ROW(J39)</f>
        <v>39</v>
      </c>
      <c r="F59" s="70">
        <f>ROW(J43)-1</f>
        <v>42</v>
      </c>
      <c r="G59" s="70"/>
      <c r="H59" s="70"/>
      <c r="I59" s="70"/>
      <c r="J59" s="133">
        <f>SUM(J39:J42)</f>
        <v>38</v>
      </c>
    </row>
    <row r="60" spans="1:10">
      <c r="A60" s="150"/>
      <c r="B60" s="46"/>
      <c r="C60" s="75"/>
      <c r="D60" s="134" t="s">
        <v>163</v>
      </c>
      <c r="E60" s="72">
        <f>F59+1</f>
        <v>43</v>
      </c>
      <c r="F60" s="72">
        <f>ROW(J52)-1</f>
        <v>51</v>
      </c>
      <c r="G60" s="72"/>
      <c r="H60" s="72"/>
      <c r="I60" s="72"/>
      <c r="J60" s="135">
        <f>SUM(J43:J51)</f>
        <v>170</v>
      </c>
    </row>
    <row r="61" spans="1:10">
      <c r="A61" s="150"/>
      <c r="B61" s="46"/>
      <c r="C61" s="75"/>
      <c r="D61" s="136" t="s">
        <v>168</v>
      </c>
      <c r="E61" s="116">
        <f>F60+1</f>
        <v>52</v>
      </c>
      <c r="F61" s="116">
        <f>ROW(J56)-1</f>
        <v>55</v>
      </c>
      <c r="G61" s="116"/>
      <c r="H61" s="116"/>
      <c r="I61" s="116"/>
      <c r="J61" s="137">
        <f>SUM(J52:J55)</f>
        <v>58</v>
      </c>
    </row>
    <row r="62" spans="1:10">
      <c r="A62" s="150"/>
      <c r="B62" s="99"/>
      <c r="C62" s="75"/>
      <c r="D62" s="130" t="s">
        <v>169</v>
      </c>
      <c r="E62" s="122">
        <f>F61+1</f>
        <v>56</v>
      </c>
      <c r="F62" s="122">
        <f>ROW(J59)-1</f>
        <v>58</v>
      </c>
      <c r="G62" s="122"/>
      <c r="H62" s="122"/>
      <c r="I62" s="122"/>
      <c r="J62" s="131">
        <f>SUM(J56:J58)</f>
        <v>34</v>
      </c>
    </row>
    <row r="63" spans="1:10">
      <c r="A63" s="150"/>
      <c r="B63" s="46"/>
      <c r="C63" s="75"/>
      <c r="D63" s="138" t="s">
        <v>144</v>
      </c>
      <c r="E63" s="139">
        <f>ROW(J59)</f>
        <v>59</v>
      </c>
      <c r="F63" s="139">
        <f>ROW(J62)</f>
        <v>62</v>
      </c>
      <c r="G63" s="139"/>
      <c r="H63" s="139"/>
      <c r="I63" s="139"/>
      <c r="J63" s="140">
        <f>SUM(J59:J62)</f>
        <v>300</v>
      </c>
    </row>
  </sheetData>
  <sheetProtection algorithmName="SHA-512" hashValue="15YjJMa+snSNaNGeTXv/+86P0E2lc9L9Ck49axbkOVooknFt6a+CMPMZEOY1SQgjTUMHI/yEW0WjGwb14RyqaQ==" saltValue="PM6NXjwKBaY9zi1XXFtnwg==" spinCount="100000" sheet="1" objects="1" scenarios="1" formatCells="0"/>
  <mergeCells count="26">
    <mergeCell ref="A2:A6"/>
    <mergeCell ref="A1:C1"/>
    <mergeCell ref="P23:R23"/>
    <mergeCell ref="B4:B5"/>
    <mergeCell ref="C4:C5"/>
    <mergeCell ref="B8:B11"/>
    <mergeCell ref="C8:C11"/>
    <mergeCell ref="B13:B14"/>
    <mergeCell ref="C13:C14"/>
    <mergeCell ref="B15:B17"/>
    <mergeCell ref="C15:C17"/>
    <mergeCell ref="B18:B20"/>
    <mergeCell ref="C18:C20"/>
    <mergeCell ref="B21:B22"/>
    <mergeCell ref="B31:B32"/>
    <mergeCell ref="C31:C32"/>
    <mergeCell ref="B33:B35"/>
    <mergeCell ref="C33:C35"/>
    <mergeCell ref="A7:A26"/>
    <mergeCell ref="A27:A32"/>
    <mergeCell ref="A33:A37"/>
    <mergeCell ref="C21:C22"/>
    <mergeCell ref="B24:B26"/>
    <mergeCell ref="C24:C26"/>
    <mergeCell ref="B28:B29"/>
    <mergeCell ref="C28:C29"/>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R62"/>
  <sheetViews>
    <sheetView workbookViewId="0">
      <pane ySplit="1" topLeftCell="A45" activePane="bottomLeft" state="frozen"/>
      <selection sqref="A1:G1"/>
      <selection pane="bottomLeft" activeCell="B45" sqref="B45"/>
    </sheetView>
  </sheetViews>
  <sheetFormatPr defaultColWidth="9.26953125" defaultRowHeight="14.5"/>
  <cols>
    <col min="1" max="1" width="9.26953125" style="13"/>
    <col min="2" max="2" width="110.54296875" style="41" customWidth="1"/>
    <col min="3" max="3" width="14.1796875" style="13" customWidth="1"/>
    <col min="4" max="4" width="9.26953125" style="13"/>
    <col min="5" max="5" width="60.36328125" style="13" customWidth="1"/>
    <col min="6" max="6" width="22.81640625" style="13" customWidth="1"/>
    <col min="7" max="7" width="19.81640625" style="13" customWidth="1"/>
    <col min="8" max="8" width="25.36328125" style="13" customWidth="1"/>
    <col min="9" max="16384" width="9.26953125" style="13"/>
  </cols>
  <sheetData>
    <row r="1" spans="1:18" s="34" customFormat="1" ht="37.5" customHeight="1">
      <c r="A1" s="34" t="s">
        <v>4</v>
      </c>
      <c r="B1" s="35" t="s">
        <v>5</v>
      </c>
      <c r="C1" s="34" t="s">
        <v>6</v>
      </c>
    </row>
    <row r="2" spans="1:18" ht="15.5">
      <c r="A2" s="13">
        <v>1</v>
      </c>
      <c r="B2" s="36" t="s">
        <v>57</v>
      </c>
      <c r="C2" s="37" t="s">
        <v>53</v>
      </c>
      <c r="E2" s="38" t="s">
        <v>55</v>
      </c>
      <c r="F2" s="39"/>
      <c r="G2" s="38"/>
      <c r="H2" s="38"/>
      <c r="I2" s="38"/>
      <c r="J2" s="38"/>
      <c r="K2" s="38"/>
      <c r="L2" s="38"/>
      <c r="M2" s="38"/>
      <c r="N2" s="38"/>
    </row>
    <row r="3" spans="1:18" ht="15.5">
      <c r="A3" s="13">
        <v>2</v>
      </c>
      <c r="B3" s="36" t="s">
        <v>56</v>
      </c>
      <c r="C3" s="37" t="s">
        <v>53</v>
      </c>
      <c r="E3" s="38" t="s">
        <v>86</v>
      </c>
      <c r="F3" s="38"/>
      <c r="G3" s="38"/>
      <c r="H3" s="38"/>
      <c r="I3" s="38"/>
      <c r="J3" s="38"/>
      <c r="K3" s="38"/>
      <c r="L3" s="38"/>
      <c r="M3" s="38"/>
      <c r="N3" s="38"/>
    </row>
    <row r="4" spans="1:18" ht="15.5">
      <c r="A4" s="13">
        <v>3</v>
      </c>
      <c r="B4" s="36" t="s">
        <v>58</v>
      </c>
      <c r="C4" s="37"/>
      <c r="E4" s="38"/>
      <c r="F4" s="38"/>
      <c r="G4" s="38"/>
      <c r="H4" s="38"/>
      <c r="I4" s="38"/>
      <c r="J4" s="38"/>
      <c r="K4" s="38"/>
      <c r="L4" s="38"/>
      <c r="M4" s="38"/>
      <c r="N4" s="38"/>
    </row>
    <row r="5" spans="1:18" ht="15.5">
      <c r="A5" s="13">
        <v>4</v>
      </c>
      <c r="B5" s="36" t="s">
        <v>59</v>
      </c>
      <c r="C5" s="37" t="s">
        <v>53</v>
      </c>
      <c r="E5" s="38"/>
      <c r="F5" s="38"/>
      <c r="G5" s="38"/>
      <c r="H5" s="38"/>
      <c r="I5" s="38"/>
      <c r="J5" s="38"/>
      <c r="K5" s="38"/>
      <c r="L5" s="38"/>
      <c r="M5" s="38"/>
      <c r="N5" s="38"/>
    </row>
    <row r="6" spans="1:18" ht="15.5">
      <c r="A6" s="13">
        <v>5</v>
      </c>
      <c r="B6" s="36" t="s">
        <v>60</v>
      </c>
      <c r="C6" s="37" t="s">
        <v>53</v>
      </c>
      <c r="E6" s="40"/>
      <c r="F6" s="38"/>
      <c r="G6" s="38"/>
      <c r="H6" s="39"/>
      <c r="I6" s="38"/>
      <c r="J6" s="38"/>
      <c r="K6" s="38"/>
      <c r="L6" s="38"/>
      <c r="M6" s="38"/>
      <c r="N6" s="38"/>
      <c r="O6" s="38"/>
      <c r="P6" s="38"/>
      <c r="Q6" s="38"/>
      <c r="R6" s="38"/>
    </row>
    <row r="7" spans="1:18" ht="15.5">
      <c r="A7" s="13">
        <v>6</v>
      </c>
      <c r="B7" s="36" t="s">
        <v>61</v>
      </c>
      <c r="C7" s="37" t="s">
        <v>53</v>
      </c>
      <c r="E7" s="40"/>
      <c r="F7" s="38"/>
      <c r="G7" s="38"/>
      <c r="H7" s="39"/>
      <c r="I7" s="38"/>
      <c r="J7" s="38"/>
      <c r="K7" s="38"/>
      <c r="L7" s="38"/>
      <c r="M7" s="38"/>
      <c r="N7" s="38"/>
      <c r="O7" s="38"/>
      <c r="P7" s="38"/>
      <c r="Q7" s="38"/>
      <c r="R7" s="38"/>
    </row>
    <row r="8" spans="1:18" ht="15.5">
      <c r="A8" s="13">
        <v>7</v>
      </c>
      <c r="B8" s="36" t="s">
        <v>62</v>
      </c>
      <c r="C8" s="37" t="s">
        <v>53</v>
      </c>
      <c r="E8" s="40"/>
      <c r="F8" s="38"/>
      <c r="G8" s="38"/>
      <c r="H8" s="39"/>
      <c r="I8" s="38"/>
      <c r="J8" s="38"/>
      <c r="K8" s="38"/>
      <c r="L8" s="38"/>
      <c r="M8" s="38"/>
      <c r="N8" s="38"/>
      <c r="O8" s="38"/>
      <c r="P8" s="38"/>
      <c r="Q8" s="38"/>
      <c r="R8" s="38"/>
    </row>
    <row r="9" spans="1:18" ht="15.5">
      <c r="A9" s="13">
        <v>8</v>
      </c>
      <c r="B9" s="36" t="s">
        <v>63</v>
      </c>
      <c r="C9" s="37"/>
      <c r="E9" s="40"/>
      <c r="F9" s="38"/>
      <c r="G9" s="38"/>
      <c r="H9" s="39"/>
      <c r="I9" s="38"/>
      <c r="J9" s="38"/>
      <c r="K9" s="38"/>
      <c r="L9" s="38"/>
      <c r="M9" s="38"/>
      <c r="N9" s="38"/>
      <c r="O9" s="38"/>
      <c r="P9" s="38"/>
      <c r="Q9" s="38"/>
      <c r="R9" s="38"/>
    </row>
    <row r="10" spans="1:18" ht="15.5">
      <c r="A10" s="13">
        <v>9</v>
      </c>
      <c r="B10" s="36" t="s">
        <v>64</v>
      </c>
      <c r="C10" s="37" t="s">
        <v>53</v>
      </c>
      <c r="E10" s="40"/>
      <c r="F10" s="38"/>
      <c r="G10" s="38"/>
      <c r="H10" s="39"/>
      <c r="I10" s="38"/>
      <c r="J10" s="38"/>
      <c r="K10" s="38"/>
      <c r="L10" s="38"/>
      <c r="M10" s="38"/>
      <c r="N10" s="38"/>
      <c r="O10" s="38"/>
      <c r="P10" s="38"/>
      <c r="Q10" s="38"/>
      <c r="R10" s="38"/>
    </row>
    <row r="11" spans="1:18" ht="15.5">
      <c r="A11" s="13">
        <v>10</v>
      </c>
      <c r="B11" s="36" t="s">
        <v>65</v>
      </c>
      <c r="C11" s="37"/>
      <c r="E11" s="40"/>
      <c r="F11" s="38"/>
      <c r="G11" s="38"/>
      <c r="H11" s="39"/>
      <c r="I11" s="38"/>
      <c r="J11" s="38"/>
      <c r="K11" s="38"/>
      <c r="L11" s="38"/>
      <c r="M11" s="38"/>
      <c r="N11" s="38"/>
      <c r="O11" s="38"/>
      <c r="P11" s="38"/>
      <c r="Q11" s="38"/>
      <c r="R11" s="38"/>
    </row>
    <row r="12" spans="1:18" ht="15.5">
      <c r="A12" s="13">
        <v>11</v>
      </c>
      <c r="B12" s="36" t="s">
        <v>66</v>
      </c>
      <c r="C12" s="37"/>
      <c r="E12" s="40"/>
      <c r="F12" s="38"/>
      <c r="G12" s="38"/>
      <c r="H12" s="39"/>
      <c r="I12" s="38"/>
      <c r="J12" s="38"/>
      <c r="K12" s="38"/>
      <c r="L12" s="38"/>
      <c r="M12" s="38"/>
      <c r="N12" s="38"/>
      <c r="O12" s="38"/>
      <c r="P12" s="38"/>
      <c r="Q12" s="38"/>
      <c r="R12" s="38"/>
    </row>
    <row r="13" spans="1:18" ht="15.5">
      <c r="A13" s="13">
        <v>12</v>
      </c>
      <c r="B13" s="36" t="s">
        <v>67</v>
      </c>
      <c r="C13" s="37"/>
      <c r="E13" s="40"/>
      <c r="F13" s="38"/>
      <c r="G13" s="38"/>
      <c r="H13" s="39"/>
      <c r="I13" s="38"/>
      <c r="J13" s="38"/>
      <c r="K13" s="38"/>
      <c r="L13" s="38"/>
      <c r="M13" s="38"/>
      <c r="N13" s="38"/>
      <c r="O13" s="38"/>
      <c r="P13" s="38"/>
      <c r="Q13" s="38"/>
      <c r="R13" s="38"/>
    </row>
    <row r="14" spans="1:18" ht="15.5">
      <c r="A14" s="13">
        <v>13</v>
      </c>
      <c r="B14" s="36" t="s">
        <v>68</v>
      </c>
      <c r="C14" s="37"/>
      <c r="E14" s="40"/>
      <c r="F14" s="38"/>
      <c r="G14" s="38"/>
      <c r="H14" s="39"/>
      <c r="I14" s="38"/>
      <c r="J14" s="38"/>
      <c r="K14" s="38"/>
      <c r="L14" s="38"/>
      <c r="M14" s="38"/>
      <c r="N14" s="38"/>
      <c r="O14" s="38"/>
      <c r="P14" s="38"/>
      <c r="Q14" s="38"/>
      <c r="R14" s="38"/>
    </row>
    <row r="15" spans="1:18" ht="15.5">
      <c r="A15" s="13">
        <v>14</v>
      </c>
      <c r="B15" s="36" t="s">
        <v>69</v>
      </c>
      <c r="C15" s="37"/>
      <c r="E15" s="40"/>
      <c r="F15" s="38"/>
      <c r="G15" s="38"/>
      <c r="H15" s="39"/>
      <c r="I15" s="38"/>
      <c r="J15" s="38"/>
      <c r="K15" s="38"/>
      <c r="L15" s="38"/>
      <c r="M15" s="38"/>
      <c r="N15" s="38"/>
      <c r="O15" s="38"/>
      <c r="P15" s="38"/>
      <c r="Q15" s="38"/>
      <c r="R15" s="38"/>
    </row>
    <row r="16" spans="1:18" ht="15.5">
      <c r="A16" s="13">
        <v>15</v>
      </c>
      <c r="B16" s="36" t="s">
        <v>70</v>
      </c>
      <c r="C16" s="37"/>
      <c r="E16" s="40"/>
      <c r="F16" s="38"/>
      <c r="G16" s="38"/>
      <c r="H16" s="39"/>
      <c r="I16" s="38"/>
      <c r="J16" s="38"/>
      <c r="K16" s="38"/>
      <c r="L16" s="38"/>
      <c r="M16" s="38"/>
      <c r="N16" s="38"/>
      <c r="O16" s="38"/>
      <c r="P16" s="38"/>
      <c r="Q16" s="38"/>
      <c r="R16" s="38"/>
    </row>
    <row r="17" spans="1:18" ht="15.5">
      <c r="A17" s="13">
        <v>16</v>
      </c>
      <c r="B17" s="36" t="s">
        <v>71</v>
      </c>
      <c r="C17" s="37" t="s">
        <v>53</v>
      </c>
      <c r="E17" s="40"/>
      <c r="F17" s="38"/>
      <c r="G17" s="38"/>
      <c r="H17" s="39"/>
      <c r="I17" s="38"/>
      <c r="J17" s="38"/>
      <c r="K17" s="38"/>
      <c r="L17" s="38"/>
      <c r="M17" s="38"/>
      <c r="N17" s="38"/>
      <c r="O17" s="38"/>
      <c r="P17" s="38"/>
      <c r="Q17" s="38"/>
      <c r="R17" s="38"/>
    </row>
    <row r="18" spans="1:18" ht="15.5">
      <c r="A18" s="13">
        <v>17</v>
      </c>
      <c r="B18" s="36" t="s">
        <v>72</v>
      </c>
      <c r="C18" s="37" t="s">
        <v>53</v>
      </c>
      <c r="E18" s="40"/>
      <c r="F18" s="38"/>
      <c r="G18" s="38"/>
      <c r="H18" s="39"/>
      <c r="I18" s="38"/>
      <c r="J18" s="38"/>
      <c r="K18" s="38"/>
      <c r="L18" s="38"/>
      <c r="M18" s="38"/>
      <c r="N18" s="38"/>
      <c r="O18" s="38"/>
      <c r="P18" s="38"/>
      <c r="Q18" s="38"/>
      <c r="R18" s="38"/>
    </row>
    <row r="19" spans="1:18" ht="15.5">
      <c r="A19" s="13">
        <v>18</v>
      </c>
      <c r="B19" s="36" t="s">
        <v>73</v>
      </c>
      <c r="C19" s="37" t="s">
        <v>53</v>
      </c>
      <c r="E19" s="40"/>
      <c r="F19" s="38"/>
      <c r="G19" s="38"/>
      <c r="H19" s="39"/>
      <c r="I19" s="38"/>
      <c r="J19" s="38"/>
      <c r="K19" s="38"/>
      <c r="L19" s="38"/>
      <c r="M19" s="38"/>
      <c r="N19" s="38"/>
      <c r="O19" s="38"/>
      <c r="P19" s="38"/>
      <c r="Q19" s="38"/>
      <c r="R19" s="38"/>
    </row>
    <row r="20" spans="1:18" ht="15.5">
      <c r="A20" s="13">
        <v>19</v>
      </c>
      <c r="B20" s="36" t="s">
        <v>74</v>
      </c>
      <c r="C20" s="37" t="s">
        <v>53</v>
      </c>
      <c r="E20" s="40"/>
      <c r="F20" s="38"/>
      <c r="G20" s="38"/>
      <c r="H20" s="39"/>
      <c r="I20" s="38"/>
      <c r="J20" s="38"/>
      <c r="K20" s="38"/>
      <c r="L20" s="38"/>
      <c r="M20" s="38"/>
      <c r="N20" s="38"/>
      <c r="O20" s="38"/>
      <c r="P20" s="38"/>
      <c r="Q20" s="38"/>
      <c r="R20" s="38"/>
    </row>
    <row r="21" spans="1:18" ht="15.5">
      <c r="A21" s="13">
        <v>20</v>
      </c>
      <c r="B21" s="36" t="s">
        <v>145</v>
      </c>
      <c r="C21" s="37"/>
      <c r="E21" s="40"/>
      <c r="F21" s="38"/>
      <c r="G21" s="38"/>
      <c r="H21" s="39"/>
      <c r="I21" s="38"/>
      <c r="J21" s="38"/>
      <c r="K21" s="38"/>
      <c r="L21" s="38"/>
      <c r="M21" s="38"/>
      <c r="N21" s="38"/>
      <c r="O21" s="38"/>
      <c r="P21" s="38"/>
      <c r="Q21" s="38"/>
      <c r="R21" s="38"/>
    </row>
    <row r="22" spans="1:18" ht="15.5">
      <c r="A22" s="13">
        <v>21</v>
      </c>
      <c r="B22" s="36" t="s">
        <v>75</v>
      </c>
      <c r="C22" s="37"/>
      <c r="E22" s="40"/>
      <c r="F22" s="38"/>
      <c r="G22" s="38"/>
      <c r="H22" s="39"/>
      <c r="I22" s="38"/>
      <c r="J22" s="38"/>
      <c r="K22" s="38"/>
      <c r="L22" s="38"/>
      <c r="M22" s="38"/>
      <c r="N22" s="38"/>
      <c r="O22" s="38"/>
      <c r="P22" s="38"/>
      <c r="Q22" s="38"/>
      <c r="R22" s="38"/>
    </row>
    <row r="23" spans="1:18" ht="15.5">
      <c r="A23" s="13">
        <v>22</v>
      </c>
      <c r="B23" s="36" t="s">
        <v>76</v>
      </c>
      <c r="C23" s="37"/>
      <c r="E23" s="40"/>
      <c r="F23" s="38"/>
      <c r="G23" s="38"/>
      <c r="H23" s="39"/>
      <c r="I23" s="38"/>
      <c r="J23" s="38"/>
      <c r="K23" s="38"/>
      <c r="L23" s="38"/>
      <c r="M23" s="38"/>
      <c r="N23" s="38"/>
      <c r="O23" s="38"/>
      <c r="P23" s="38"/>
      <c r="Q23" s="38"/>
      <c r="R23" s="38"/>
    </row>
    <row r="24" spans="1:18" ht="15.5">
      <c r="A24" s="13">
        <v>23</v>
      </c>
      <c r="B24" s="36" t="s">
        <v>77</v>
      </c>
      <c r="C24" s="37"/>
      <c r="E24" s="40"/>
      <c r="F24" s="38"/>
      <c r="G24" s="38"/>
      <c r="H24" s="39"/>
      <c r="I24" s="38"/>
      <c r="J24" s="38"/>
      <c r="K24" s="38"/>
      <c r="L24" s="38"/>
      <c r="M24" s="38"/>
      <c r="N24" s="38"/>
      <c r="O24" s="38"/>
      <c r="P24" s="38"/>
      <c r="Q24" s="38"/>
      <c r="R24" s="38"/>
    </row>
    <row r="25" spans="1:18" ht="15.5">
      <c r="A25" s="13">
        <v>24</v>
      </c>
      <c r="B25" s="36" t="s">
        <v>78</v>
      </c>
      <c r="C25" s="37"/>
      <c r="E25" s="40"/>
      <c r="F25" s="38"/>
      <c r="G25" s="38"/>
      <c r="H25" s="39"/>
      <c r="I25" s="38"/>
      <c r="J25" s="38"/>
      <c r="K25" s="38"/>
      <c r="L25" s="38"/>
      <c r="M25" s="38"/>
      <c r="N25" s="38"/>
      <c r="O25" s="38"/>
      <c r="P25" s="38"/>
      <c r="Q25" s="38"/>
      <c r="R25" s="38"/>
    </row>
    <row r="26" spans="1:18" ht="15.5">
      <c r="A26" s="13">
        <v>25</v>
      </c>
      <c r="B26" s="36" t="s">
        <v>79</v>
      </c>
      <c r="C26" s="37"/>
      <c r="E26" s="40"/>
      <c r="F26" s="38"/>
      <c r="G26" s="38"/>
      <c r="H26" s="39"/>
      <c r="I26" s="38"/>
      <c r="J26" s="38"/>
      <c r="K26" s="38"/>
      <c r="L26" s="38"/>
      <c r="M26" s="38"/>
      <c r="N26" s="38"/>
      <c r="O26" s="38"/>
      <c r="P26" s="38"/>
      <c r="Q26" s="38"/>
      <c r="R26" s="38"/>
    </row>
    <row r="27" spans="1:18" ht="15.5">
      <c r="A27" s="13">
        <v>26</v>
      </c>
      <c r="B27" s="36" t="s">
        <v>80</v>
      </c>
      <c r="C27" s="37"/>
      <c r="E27" s="40"/>
      <c r="F27" s="38"/>
      <c r="G27" s="38"/>
      <c r="H27" s="39"/>
      <c r="I27" s="38"/>
      <c r="J27" s="38"/>
      <c r="K27" s="38"/>
      <c r="L27" s="38"/>
      <c r="M27" s="38"/>
      <c r="N27" s="38"/>
      <c r="O27" s="38"/>
      <c r="P27" s="38"/>
      <c r="Q27" s="38"/>
      <c r="R27" s="38"/>
    </row>
    <row r="28" spans="1:18" ht="15.5">
      <c r="A28" s="13">
        <v>27</v>
      </c>
      <c r="B28" s="36" t="s">
        <v>81</v>
      </c>
      <c r="C28" s="37" t="s">
        <v>53</v>
      </c>
      <c r="E28" s="40"/>
      <c r="F28" s="38"/>
      <c r="G28" s="38"/>
      <c r="H28" s="39"/>
      <c r="I28" s="38"/>
      <c r="J28" s="38"/>
      <c r="K28" s="38"/>
      <c r="L28" s="38"/>
      <c r="M28" s="38"/>
      <c r="N28" s="38"/>
      <c r="O28" s="38"/>
      <c r="P28" s="38"/>
      <c r="Q28" s="38"/>
      <c r="R28" s="38"/>
    </row>
    <row r="29" spans="1:18" ht="15.5">
      <c r="A29" s="13">
        <v>28</v>
      </c>
      <c r="B29" s="36" t="s">
        <v>261</v>
      </c>
      <c r="E29" s="40"/>
      <c r="F29" s="38"/>
      <c r="G29" s="38"/>
      <c r="H29" s="39"/>
      <c r="I29" s="38"/>
      <c r="J29" s="38"/>
      <c r="K29" s="38"/>
      <c r="L29" s="38"/>
      <c r="M29" s="38"/>
      <c r="N29" s="38"/>
      <c r="O29" s="38"/>
      <c r="P29" s="38"/>
      <c r="Q29" s="38"/>
      <c r="R29" s="38"/>
    </row>
    <row r="30" spans="1:18" ht="15.5">
      <c r="A30" s="13">
        <v>29</v>
      </c>
      <c r="B30" s="36" t="s">
        <v>262</v>
      </c>
      <c r="E30" s="40"/>
      <c r="F30" s="38"/>
      <c r="G30" s="38"/>
      <c r="H30" s="39"/>
      <c r="I30" s="38"/>
      <c r="J30" s="38"/>
      <c r="K30" s="38"/>
      <c r="L30" s="38"/>
      <c r="M30" s="38"/>
      <c r="N30" s="38"/>
      <c r="O30" s="38"/>
      <c r="P30" s="38"/>
      <c r="Q30" s="38"/>
      <c r="R30" s="38"/>
    </row>
    <row r="31" spans="1:18" ht="15.5">
      <c r="A31" s="13">
        <v>30</v>
      </c>
      <c r="B31" s="36" t="s">
        <v>263</v>
      </c>
      <c r="E31" s="40"/>
      <c r="F31" s="38"/>
      <c r="G31" s="38"/>
      <c r="H31" s="39"/>
      <c r="I31" s="38"/>
      <c r="J31" s="38"/>
      <c r="K31" s="38"/>
      <c r="L31" s="38"/>
      <c r="M31" s="38"/>
      <c r="N31" s="38"/>
      <c r="O31" s="38"/>
      <c r="P31" s="38"/>
      <c r="Q31" s="38"/>
      <c r="R31" s="38"/>
    </row>
    <row r="32" spans="1:18" ht="15.5">
      <c r="A32" s="13">
        <v>31</v>
      </c>
      <c r="B32" s="36" t="s">
        <v>264</v>
      </c>
      <c r="E32" s="40"/>
      <c r="F32" s="38"/>
      <c r="G32" s="38"/>
      <c r="H32" s="39"/>
      <c r="I32" s="38"/>
      <c r="J32" s="38"/>
      <c r="K32" s="38"/>
      <c r="L32" s="38"/>
      <c r="M32" s="38"/>
      <c r="N32" s="38"/>
      <c r="O32" s="38"/>
      <c r="P32" s="38"/>
      <c r="Q32" s="38"/>
      <c r="R32" s="38"/>
    </row>
    <row r="33" spans="1:18" ht="15.5">
      <c r="A33" s="13">
        <v>32</v>
      </c>
      <c r="B33" s="36" t="s">
        <v>265</v>
      </c>
      <c r="E33" s="40"/>
      <c r="F33" s="38"/>
      <c r="G33" s="38"/>
      <c r="H33" s="39"/>
      <c r="I33" s="38"/>
      <c r="J33" s="38"/>
      <c r="K33" s="38"/>
      <c r="L33" s="38"/>
      <c r="M33" s="38"/>
      <c r="N33" s="38"/>
      <c r="O33" s="38"/>
      <c r="P33" s="38"/>
      <c r="Q33" s="38"/>
      <c r="R33" s="38"/>
    </row>
    <row r="34" spans="1:18" ht="15.5">
      <c r="A34" s="13">
        <v>33</v>
      </c>
      <c r="B34" s="36" t="s">
        <v>266</v>
      </c>
      <c r="E34" s="40"/>
      <c r="F34" s="38"/>
      <c r="G34" s="38"/>
      <c r="H34" s="39"/>
      <c r="I34" s="38"/>
      <c r="J34" s="38"/>
      <c r="K34" s="38"/>
      <c r="L34" s="38"/>
      <c r="M34" s="38"/>
      <c r="N34" s="38"/>
      <c r="O34" s="38"/>
      <c r="P34" s="38"/>
      <c r="Q34" s="38"/>
      <c r="R34" s="38"/>
    </row>
    <row r="35" spans="1:18" ht="15.5">
      <c r="A35" s="13">
        <v>34</v>
      </c>
      <c r="B35" s="36" t="s">
        <v>267</v>
      </c>
      <c r="E35" s="40"/>
      <c r="F35" s="38"/>
      <c r="G35" s="38"/>
      <c r="H35" s="39"/>
      <c r="I35" s="38"/>
      <c r="J35" s="38"/>
      <c r="K35" s="38"/>
      <c r="L35" s="38"/>
      <c r="M35" s="38"/>
      <c r="N35" s="38"/>
      <c r="O35" s="38"/>
      <c r="P35" s="38"/>
      <c r="Q35" s="38"/>
      <c r="R35" s="38"/>
    </row>
    <row r="36" spans="1:18" ht="15.5">
      <c r="A36" s="13">
        <v>35</v>
      </c>
      <c r="B36" s="36" t="s">
        <v>268</v>
      </c>
      <c r="E36" s="40"/>
      <c r="F36" s="38"/>
      <c r="G36" s="38"/>
      <c r="H36" s="39"/>
      <c r="I36" s="38"/>
      <c r="J36" s="38"/>
      <c r="K36" s="38"/>
      <c r="L36" s="38"/>
      <c r="M36" s="38"/>
      <c r="N36" s="38"/>
      <c r="O36" s="38"/>
      <c r="P36" s="38"/>
      <c r="Q36" s="38"/>
      <c r="R36" s="38"/>
    </row>
    <row r="37" spans="1:18" ht="15.5">
      <c r="A37" s="13">
        <v>36</v>
      </c>
      <c r="B37" s="36" t="s">
        <v>269</v>
      </c>
      <c r="E37" s="40"/>
      <c r="F37" s="38"/>
      <c r="G37" s="38"/>
      <c r="H37" s="39"/>
      <c r="I37" s="38"/>
      <c r="J37" s="38"/>
      <c r="K37" s="38"/>
      <c r="L37" s="38"/>
      <c r="M37" s="38"/>
      <c r="N37" s="38"/>
      <c r="O37" s="38"/>
      <c r="P37" s="38"/>
      <c r="Q37" s="38"/>
      <c r="R37" s="38"/>
    </row>
    <row r="38" spans="1:18" ht="15.5">
      <c r="A38" s="13">
        <v>37</v>
      </c>
      <c r="B38" s="12" t="s">
        <v>146</v>
      </c>
      <c r="C38" s="37"/>
      <c r="E38" s="40"/>
      <c r="F38" s="38"/>
      <c r="G38" s="38"/>
      <c r="H38" s="39"/>
      <c r="I38" s="38"/>
      <c r="J38" s="38"/>
      <c r="K38" s="38"/>
      <c r="L38" s="38"/>
      <c r="M38" s="38"/>
      <c r="N38" s="38"/>
      <c r="O38" s="38"/>
      <c r="P38" s="38"/>
      <c r="Q38" s="38"/>
      <c r="R38" s="38"/>
    </row>
    <row r="39" spans="1:18" ht="15.5">
      <c r="A39" s="13">
        <v>38</v>
      </c>
      <c r="B39" s="12" t="s">
        <v>147</v>
      </c>
      <c r="C39" s="37"/>
      <c r="E39" s="40"/>
      <c r="F39" s="38"/>
      <c r="G39" s="38"/>
      <c r="H39" s="39"/>
      <c r="I39" s="38"/>
      <c r="J39" s="38"/>
      <c r="K39" s="38"/>
      <c r="L39" s="38"/>
      <c r="M39" s="38"/>
      <c r="N39" s="38"/>
      <c r="O39" s="38"/>
      <c r="P39" s="38"/>
      <c r="Q39" s="38"/>
      <c r="R39" s="38"/>
    </row>
    <row r="40" spans="1:18" ht="15.5">
      <c r="A40" s="13">
        <v>39</v>
      </c>
      <c r="B40" s="12" t="s">
        <v>270</v>
      </c>
      <c r="C40" s="37"/>
      <c r="E40" s="40"/>
      <c r="F40" s="38"/>
      <c r="G40" s="38"/>
      <c r="H40" s="39"/>
      <c r="I40" s="38"/>
      <c r="J40" s="38"/>
      <c r="K40" s="38"/>
      <c r="L40" s="38"/>
      <c r="M40" s="38"/>
      <c r="N40" s="38"/>
      <c r="O40" s="38"/>
      <c r="P40" s="38"/>
      <c r="Q40" s="38"/>
      <c r="R40" s="38"/>
    </row>
    <row r="41" spans="1:18" ht="15.5">
      <c r="A41" s="13">
        <v>40</v>
      </c>
      <c r="B41" s="12" t="s">
        <v>271</v>
      </c>
      <c r="C41" s="37"/>
      <c r="E41" s="40"/>
      <c r="F41" s="38"/>
      <c r="G41" s="38"/>
      <c r="H41" s="39"/>
      <c r="I41" s="38"/>
      <c r="J41" s="38"/>
      <c r="K41" s="38"/>
      <c r="L41" s="38"/>
      <c r="M41" s="38"/>
      <c r="N41" s="38"/>
      <c r="O41" s="38"/>
      <c r="P41" s="38"/>
      <c r="Q41" s="38"/>
      <c r="R41" s="38"/>
    </row>
    <row r="42" spans="1:18" ht="15.5">
      <c r="A42" s="13">
        <v>41</v>
      </c>
      <c r="B42" s="12" t="s">
        <v>272</v>
      </c>
      <c r="C42" s="37"/>
      <c r="E42" s="40"/>
      <c r="F42" s="38"/>
      <c r="G42" s="38"/>
      <c r="H42" s="39"/>
      <c r="I42" s="38"/>
      <c r="J42" s="38"/>
      <c r="K42" s="38"/>
      <c r="L42" s="38"/>
      <c r="M42" s="38"/>
      <c r="N42" s="38"/>
      <c r="O42" s="38"/>
      <c r="P42" s="38"/>
      <c r="Q42" s="38"/>
      <c r="R42" s="38"/>
    </row>
    <row r="43" spans="1:18" ht="15.5">
      <c r="A43" s="13">
        <v>42</v>
      </c>
      <c r="B43" s="12" t="s">
        <v>273</v>
      </c>
      <c r="C43" s="37"/>
      <c r="E43" s="40"/>
      <c r="F43" s="38"/>
      <c r="G43" s="38"/>
      <c r="H43" s="39"/>
      <c r="I43" s="38"/>
      <c r="J43" s="38"/>
      <c r="K43" s="38"/>
      <c r="L43" s="38"/>
      <c r="M43" s="38"/>
      <c r="N43" s="38"/>
      <c r="O43" s="38"/>
      <c r="P43" s="38"/>
      <c r="Q43" s="38"/>
      <c r="R43" s="38"/>
    </row>
    <row r="44" spans="1:18" ht="15.5">
      <c r="A44" s="13">
        <v>43</v>
      </c>
      <c r="B44" s="12" t="s">
        <v>274</v>
      </c>
      <c r="C44" s="37"/>
      <c r="E44" s="40"/>
      <c r="F44" s="38"/>
      <c r="G44" s="38"/>
      <c r="H44" s="39"/>
      <c r="I44" s="38"/>
      <c r="J44" s="38"/>
      <c r="K44" s="38"/>
      <c r="L44" s="38"/>
      <c r="M44" s="38"/>
      <c r="N44" s="38"/>
      <c r="O44" s="38"/>
      <c r="P44" s="38"/>
      <c r="Q44" s="38"/>
      <c r="R44" s="38"/>
    </row>
    <row r="45" spans="1:18" ht="15.5">
      <c r="A45" s="13">
        <v>44</v>
      </c>
      <c r="B45" s="12" t="s">
        <v>275</v>
      </c>
      <c r="C45" s="37"/>
      <c r="E45" s="40"/>
      <c r="F45" s="38"/>
      <c r="G45" s="38"/>
      <c r="H45" s="39"/>
      <c r="I45" s="38"/>
      <c r="J45" s="38"/>
      <c r="K45" s="38"/>
      <c r="L45" s="38"/>
      <c r="M45" s="38"/>
      <c r="N45" s="38"/>
      <c r="O45" s="38"/>
      <c r="P45" s="38"/>
      <c r="Q45" s="38"/>
      <c r="R45" s="38"/>
    </row>
    <row r="46" spans="1:18" ht="15.5">
      <c r="A46" s="13">
        <v>45</v>
      </c>
      <c r="B46" s="12" t="s">
        <v>276</v>
      </c>
      <c r="C46" s="37"/>
      <c r="E46" s="40"/>
      <c r="F46" s="38"/>
      <c r="G46" s="38"/>
      <c r="H46" s="39"/>
      <c r="I46" s="38"/>
      <c r="J46" s="38"/>
      <c r="K46" s="38"/>
      <c r="L46" s="38"/>
      <c r="M46" s="38"/>
      <c r="N46" s="38"/>
      <c r="O46" s="38"/>
      <c r="P46" s="38"/>
      <c r="Q46" s="38"/>
      <c r="R46" s="38"/>
    </row>
    <row r="47" spans="1:18" ht="15.5">
      <c r="A47" s="13">
        <v>46</v>
      </c>
      <c r="B47" s="12" t="s">
        <v>277</v>
      </c>
      <c r="C47" s="37"/>
      <c r="E47" s="40"/>
      <c r="F47" s="38"/>
      <c r="G47" s="38"/>
      <c r="H47" s="39"/>
      <c r="I47" s="38"/>
      <c r="J47" s="38"/>
      <c r="K47" s="38"/>
      <c r="L47" s="38"/>
      <c r="M47" s="38"/>
      <c r="N47" s="38"/>
      <c r="O47" s="38"/>
      <c r="P47" s="38"/>
      <c r="Q47" s="38"/>
      <c r="R47" s="38"/>
    </row>
    <row r="48" spans="1:18" ht="15.5">
      <c r="A48" s="13">
        <v>47</v>
      </c>
      <c r="B48" s="12" t="s">
        <v>278</v>
      </c>
      <c r="C48" s="37"/>
      <c r="E48" s="40"/>
      <c r="F48" s="38"/>
      <c r="G48" s="38"/>
      <c r="H48" s="39"/>
      <c r="I48" s="38"/>
      <c r="J48" s="38"/>
      <c r="K48" s="38"/>
      <c r="L48" s="38"/>
      <c r="M48" s="38"/>
      <c r="N48" s="38"/>
      <c r="O48" s="38"/>
      <c r="P48" s="38"/>
      <c r="Q48" s="38"/>
      <c r="R48" s="38"/>
    </row>
    <row r="49" spans="1:18" ht="15.5">
      <c r="A49" s="13">
        <v>48</v>
      </c>
      <c r="B49" s="12" t="s">
        <v>279</v>
      </c>
      <c r="C49" s="37"/>
      <c r="E49" s="40"/>
      <c r="F49" s="38"/>
      <c r="G49" s="38"/>
      <c r="H49" s="39"/>
      <c r="I49" s="38"/>
      <c r="J49" s="38"/>
      <c r="K49" s="38"/>
      <c r="L49" s="38"/>
      <c r="M49" s="38"/>
      <c r="N49" s="38"/>
      <c r="O49" s="38"/>
      <c r="P49" s="38"/>
      <c r="Q49" s="38"/>
      <c r="R49" s="38"/>
    </row>
    <row r="50" spans="1:18" ht="15.5">
      <c r="A50" s="13">
        <v>49</v>
      </c>
      <c r="B50" s="12" t="s">
        <v>280</v>
      </c>
      <c r="C50" s="37"/>
      <c r="E50" s="40"/>
      <c r="F50" s="38"/>
      <c r="G50" s="38"/>
      <c r="H50" s="39"/>
      <c r="I50" s="38"/>
      <c r="J50" s="38"/>
      <c r="K50" s="38"/>
      <c r="L50" s="38"/>
      <c r="M50" s="38"/>
      <c r="N50" s="38"/>
      <c r="O50" s="38"/>
      <c r="P50" s="38"/>
      <c r="Q50" s="38"/>
      <c r="R50" s="38"/>
    </row>
    <row r="51" spans="1:18" ht="15.5">
      <c r="A51" s="13">
        <v>50</v>
      </c>
      <c r="B51" s="12" t="s">
        <v>281</v>
      </c>
      <c r="C51" s="37"/>
      <c r="E51" s="40"/>
      <c r="F51" s="38"/>
      <c r="G51" s="38"/>
      <c r="H51" s="39"/>
      <c r="I51" s="38"/>
      <c r="J51" s="38"/>
      <c r="K51" s="38"/>
      <c r="L51" s="38"/>
      <c r="M51" s="38"/>
      <c r="N51" s="38"/>
      <c r="O51" s="38"/>
      <c r="P51" s="38"/>
      <c r="Q51" s="38"/>
      <c r="R51" s="38"/>
    </row>
    <row r="52" spans="1:18" ht="15.5">
      <c r="A52" s="13">
        <v>51</v>
      </c>
      <c r="B52" s="12" t="s">
        <v>282</v>
      </c>
      <c r="C52" s="37"/>
      <c r="E52" s="40"/>
      <c r="F52" s="38"/>
      <c r="G52" s="38"/>
      <c r="H52" s="39"/>
      <c r="I52" s="38"/>
      <c r="J52" s="38"/>
      <c r="K52" s="38"/>
      <c r="L52" s="38"/>
      <c r="M52" s="38"/>
      <c r="N52" s="38"/>
      <c r="O52" s="38"/>
      <c r="P52" s="38"/>
      <c r="Q52" s="38"/>
      <c r="R52" s="38"/>
    </row>
    <row r="53" spans="1:18" ht="15.5">
      <c r="A53" s="13">
        <v>52</v>
      </c>
      <c r="B53" s="12" t="s">
        <v>283</v>
      </c>
      <c r="C53" s="37"/>
      <c r="E53" s="40"/>
      <c r="F53" s="38"/>
      <c r="G53" s="38"/>
      <c r="H53" s="39"/>
      <c r="I53" s="38"/>
      <c r="J53" s="38"/>
      <c r="K53" s="38"/>
      <c r="L53" s="38"/>
      <c r="M53" s="38"/>
      <c r="N53" s="38"/>
      <c r="O53" s="38"/>
      <c r="P53" s="38"/>
      <c r="Q53" s="38"/>
      <c r="R53" s="38"/>
    </row>
    <row r="54" spans="1:18" ht="15.5">
      <c r="A54" s="13">
        <v>53</v>
      </c>
      <c r="B54" s="12" t="s">
        <v>284</v>
      </c>
      <c r="C54" s="37"/>
      <c r="E54" s="40"/>
      <c r="F54" s="38"/>
      <c r="G54" s="38"/>
      <c r="H54" s="39"/>
      <c r="I54" s="38"/>
      <c r="J54" s="38"/>
      <c r="K54" s="38"/>
      <c r="L54" s="38"/>
      <c r="M54" s="38"/>
      <c r="N54" s="38"/>
      <c r="O54" s="38"/>
      <c r="P54" s="38"/>
      <c r="Q54" s="38"/>
      <c r="R54" s="38"/>
    </row>
    <row r="55" spans="1:18" ht="15.5">
      <c r="A55" s="13">
        <v>54</v>
      </c>
      <c r="B55" s="12" t="s">
        <v>287</v>
      </c>
      <c r="C55" s="37"/>
      <c r="E55" s="40"/>
      <c r="F55" s="38"/>
      <c r="G55" s="38"/>
      <c r="H55" s="39"/>
      <c r="I55" s="38"/>
      <c r="J55" s="38"/>
      <c r="K55" s="38"/>
      <c r="L55" s="38"/>
      <c r="M55" s="38"/>
      <c r="N55" s="38"/>
      <c r="O55" s="38"/>
      <c r="P55" s="38"/>
      <c r="Q55" s="38"/>
      <c r="R55" s="38"/>
    </row>
    <row r="56" spans="1:18" ht="15.5">
      <c r="A56" s="13">
        <v>55</v>
      </c>
      <c r="B56" s="12" t="s">
        <v>288</v>
      </c>
      <c r="C56" s="37"/>
      <c r="E56" s="40"/>
      <c r="F56" s="38"/>
      <c r="G56" s="38"/>
      <c r="H56" s="39"/>
      <c r="I56" s="38"/>
      <c r="J56" s="38"/>
      <c r="K56" s="38"/>
      <c r="L56" s="38"/>
      <c r="M56" s="38"/>
      <c r="N56" s="38"/>
      <c r="O56" s="38"/>
      <c r="P56" s="38"/>
      <c r="Q56" s="38"/>
      <c r="R56" s="38"/>
    </row>
    <row r="57" spans="1:18" ht="15.5">
      <c r="A57" s="13">
        <v>56</v>
      </c>
      <c r="B57" s="12" t="s">
        <v>289</v>
      </c>
      <c r="C57" s="37"/>
      <c r="E57" s="40"/>
      <c r="F57" s="38"/>
      <c r="G57" s="38"/>
      <c r="H57" s="39"/>
      <c r="I57" s="38"/>
      <c r="J57" s="38"/>
      <c r="K57" s="38"/>
      <c r="L57" s="38"/>
      <c r="M57" s="38"/>
      <c r="N57" s="38"/>
      <c r="O57" s="38"/>
      <c r="P57" s="38"/>
      <c r="Q57" s="38"/>
      <c r="R57" s="38"/>
    </row>
    <row r="58" spans="1:18">
      <c r="A58" s="13">
        <v>57</v>
      </c>
      <c r="B58" s="111" t="s">
        <v>316</v>
      </c>
    </row>
    <row r="59" spans="1:18" ht="29">
      <c r="A59" s="13">
        <v>58</v>
      </c>
      <c r="B59" s="42" t="s">
        <v>285</v>
      </c>
    </row>
    <row r="60" spans="1:18">
      <c r="A60" s="13">
        <v>59</v>
      </c>
      <c r="B60" s="43" t="s">
        <v>317</v>
      </c>
    </row>
    <row r="61" spans="1:18">
      <c r="A61" s="13">
        <v>60</v>
      </c>
      <c r="B61" s="43" t="s">
        <v>286</v>
      </c>
    </row>
    <row r="62" spans="1:18">
      <c r="A62" s="13">
        <v>61</v>
      </c>
      <c r="B62" s="39" t="s">
        <v>170</v>
      </c>
    </row>
  </sheetData>
  <sheetProtection algorithmName="SHA-512" hashValue="ctRiblghfD3GM24rPPRmdhY2Gj5Gl2UEPify2wK6pJqfM/48TXjN4c6HJfrrWACg1cQdf9b6GZFG+Q+P+Z/LXw==" saltValue="zpt8byv0pHRtQu4BvqpmiQ==" spinCount="100000" sheet="1" objects="1" scenarios="1" formatCells="0"/>
  <phoneticPr fontId="5"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G62"/>
  <sheetViews>
    <sheetView workbookViewId="0">
      <pane ySplit="1" topLeftCell="A42" activePane="bottomLeft" state="frozen"/>
      <selection pane="bottomLeft" activeCell="G57" sqref="G57"/>
    </sheetView>
  </sheetViews>
  <sheetFormatPr defaultColWidth="9.1796875" defaultRowHeight="14.5"/>
  <cols>
    <col min="2" max="2" width="13.1796875" customWidth="1"/>
    <col min="3" max="3" width="20.36328125" customWidth="1"/>
    <col min="6" max="6" width="11.81640625" customWidth="1"/>
  </cols>
  <sheetData>
    <row r="1" spans="1:7" s="4" customFormat="1">
      <c r="A1" s="4" t="s">
        <v>4</v>
      </c>
      <c r="B1" s="4" t="s">
        <v>47</v>
      </c>
      <c r="C1" s="4" t="s">
        <v>48</v>
      </c>
      <c r="D1" s="4" t="s">
        <v>49</v>
      </c>
      <c r="E1" s="4" t="s">
        <v>105</v>
      </c>
      <c r="F1" s="4" t="s">
        <v>107</v>
      </c>
      <c r="G1" s="4" t="s">
        <v>106</v>
      </c>
    </row>
    <row r="2" spans="1:7">
      <c r="A2">
        <v>1</v>
      </c>
      <c r="B2" t="s">
        <v>125</v>
      </c>
      <c r="C2" t="s">
        <v>11</v>
      </c>
      <c r="D2" t="b">
        <v>1</v>
      </c>
      <c r="E2">
        <v>6</v>
      </c>
      <c r="F2">
        <v>6</v>
      </c>
    </row>
    <row r="3" spans="1:7">
      <c r="A3">
        <v>2</v>
      </c>
      <c r="B3" t="s">
        <v>125</v>
      </c>
      <c r="C3" t="s">
        <v>12</v>
      </c>
      <c r="D3" t="b">
        <v>1</v>
      </c>
      <c r="E3">
        <v>7</v>
      </c>
      <c r="F3">
        <v>7</v>
      </c>
    </row>
    <row r="4" spans="1:7">
      <c r="A4">
        <v>3</v>
      </c>
      <c r="B4" t="s">
        <v>125</v>
      </c>
      <c r="C4" t="s">
        <v>13</v>
      </c>
      <c r="D4" t="b">
        <v>1</v>
      </c>
      <c r="E4">
        <v>10</v>
      </c>
      <c r="F4">
        <v>10</v>
      </c>
    </row>
    <row r="5" spans="1:7">
      <c r="A5">
        <v>4</v>
      </c>
      <c r="B5" t="s">
        <v>125</v>
      </c>
      <c r="C5" t="s">
        <v>14</v>
      </c>
      <c r="D5" t="b">
        <v>1</v>
      </c>
      <c r="E5">
        <v>6</v>
      </c>
      <c r="F5">
        <v>6</v>
      </c>
    </row>
    <row r="6" spans="1:7">
      <c r="A6">
        <v>5</v>
      </c>
      <c r="B6" t="s">
        <v>125</v>
      </c>
      <c r="C6" t="s">
        <v>15</v>
      </c>
      <c r="D6" t="b">
        <v>1</v>
      </c>
      <c r="E6">
        <v>9</v>
      </c>
      <c r="F6">
        <v>9</v>
      </c>
    </row>
    <row r="7" spans="1:7">
      <c r="A7">
        <v>6</v>
      </c>
      <c r="B7" t="s">
        <v>125</v>
      </c>
      <c r="C7" t="s">
        <v>16</v>
      </c>
      <c r="D7" t="b">
        <v>1</v>
      </c>
      <c r="E7">
        <v>5</v>
      </c>
      <c r="F7">
        <v>5</v>
      </c>
    </row>
    <row r="8" spans="1:7">
      <c r="A8">
        <v>7</v>
      </c>
      <c r="B8" t="s">
        <v>125</v>
      </c>
      <c r="C8" t="s">
        <v>17</v>
      </c>
      <c r="D8" t="b">
        <v>1</v>
      </c>
      <c r="E8">
        <v>10</v>
      </c>
      <c r="F8">
        <v>10</v>
      </c>
    </row>
    <row r="9" spans="1:7">
      <c r="A9">
        <v>8</v>
      </c>
      <c r="B9" t="s">
        <v>125</v>
      </c>
      <c r="C9" t="s">
        <v>18</v>
      </c>
      <c r="D9" t="b">
        <v>1</v>
      </c>
      <c r="E9">
        <v>10</v>
      </c>
      <c r="F9">
        <v>10</v>
      </c>
    </row>
    <row r="10" spans="1:7">
      <c r="A10">
        <v>9</v>
      </c>
      <c r="B10" t="s">
        <v>125</v>
      </c>
      <c r="C10" t="s">
        <v>19</v>
      </c>
      <c r="D10" t="b">
        <v>1</v>
      </c>
      <c r="E10">
        <v>10</v>
      </c>
      <c r="F10">
        <v>10</v>
      </c>
    </row>
    <row r="11" spans="1:7">
      <c r="A11">
        <v>10</v>
      </c>
      <c r="B11" t="s">
        <v>125</v>
      </c>
      <c r="C11" t="s">
        <v>20</v>
      </c>
      <c r="D11" t="b">
        <v>1</v>
      </c>
      <c r="E11">
        <v>5</v>
      </c>
      <c r="F11">
        <v>5</v>
      </c>
    </row>
    <row r="12" spans="1:7">
      <c r="A12">
        <v>11</v>
      </c>
      <c r="B12" t="s">
        <v>125</v>
      </c>
      <c r="C12" t="s">
        <v>21</v>
      </c>
      <c r="D12" t="b">
        <v>1</v>
      </c>
      <c r="E12">
        <v>10</v>
      </c>
      <c r="F12">
        <v>10</v>
      </c>
    </row>
    <row r="13" spans="1:7">
      <c r="A13">
        <v>12</v>
      </c>
      <c r="B13" t="s">
        <v>125</v>
      </c>
      <c r="C13" t="s">
        <v>22</v>
      </c>
      <c r="D13" t="b">
        <v>1</v>
      </c>
      <c r="E13">
        <v>10</v>
      </c>
      <c r="F13">
        <v>10</v>
      </c>
    </row>
    <row r="14" spans="1:7">
      <c r="A14">
        <v>13</v>
      </c>
      <c r="B14" t="s">
        <v>125</v>
      </c>
      <c r="C14" t="s">
        <v>23</v>
      </c>
      <c r="D14" t="b">
        <v>1</v>
      </c>
      <c r="E14">
        <v>10</v>
      </c>
      <c r="F14">
        <v>10</v>
      </c>
    </row>
    <row r="15" spans="1:7">
      <c r="A15">
        <v>14</v>
      </c>
      <c r="B15" t="s">
        <v>125</v>
      </c>
      <c r="C15" t="s">
        <v>24</v>
      </c>
      <c r="D15" t="b">
        <v>1</v>
      </c>
      <c r="E15">
        <v>10</v>
      </c>
      <c r="F15">
        <v>10</v>
      </c>
    </row>
    <row r="16" spans="1:7">
      <c r="A16">
        <v>15</v>
      </c>
      <c r="B16" t="s">
        <v>125</v>
      </c>
      <c r="C16" t="s">
        <v>25</v>
      </c>
      <c r="D16" t="b">
        <v>1</v>
      </c>
      <c r="E16">
        <v>10</v>
      </c>
      <c r="F16">
        <v>10</v>
      </c>
    </row>
    <row r="17" spans="1:6">
      <c r="A17">
        <v>16</v>
      </c>
      <c r="B17" t="s">
        <v>125</v>
      </c>
      <c r="C17" t="s">
        <v>26</v>
      </c>
      <c r="D17" t="b">
        <v>1</v>
      </c>
      <c r="E17">
        <v>5</v>
      </c>
      <c r="F17">
        <v>5</v>
      </c>
    </row>
    <row r="18" spans="1:6">
      <c r="A18">
        <v>17</v>
      </c>
      <c r="B18" t="s">
        <v>125</v>
      </c>
      <c r="C18" t="s">
        <v>27</v>
      </c>
      <c r="D18" t="b">
        <v>1</v>
      </c>
      <c r="E18">
        <v>10</v>
      </c>
      <c r="F18">
        <v>10</v>
      </c>
    </row>
    <row r="19" spans="1:6">
      <c r="A19">
        <v>18</v>
      </c>
      <c r="B19" t="s">
        <v>125</v>
      </c>
      <c r="C19" t="s">
        <v>28</v>
      </c>
      <c r="D19" t="b">
        <v>1</v>
      </c>
      <c r="E19">
        <v>5</v>
      </c>
      <c r="F19">
        <v>5</v>
      </c>
    </row>
    <row r="20" spans="1:6">
      <c r="A20">
        <v>19</v>
      </c>
      <c r="B20" t="s">
        <v>125</v>
      </c>
      <c r="C20" t="s">
        <v>29</v>
      </c>
      <c r="D20" t="b">
        <v>1</v>
      </c>
      <c r="E20">
        <v>10</v>
      </c>
      <c r="F20">
        <v>10</v>
      </c>
    </row>
    <row r="21" spans="1:6">
      <c r="A21">
        <v>20</v>
      </c>
      <c r="B21" t="s">
        <v>125</v>
      </c>
      <c r="C21" t="s">
        <v>149</v>
      </c>
      <c r="D21" t="b">
        <v>1</v>
      </c>
      <c r="E21">
        <v>9</v>
      </c>
      <c r="F21">
        <v>9</v>
      </c>
    </row>
    <row r="22" spans="1:6">
      <c r="A22">
        <v>21</v>
      </c>
      <c r="B22" t="s">
        <v>125</v>
      </c>
      <c r="C22" t="s">
        <v>30</v>
      </c>
      <c r="D22" t="b">
        <v>1</v>
      </c>
      <c r="E22">
        <v>6</v>
      </c>
      <c r="F22">
        <v>6</v>
      </c>
    </row>
    <row r="23" spans="1:6">
      <c r="A23">
        <v>22</v>
      </c>
      <c r="B23" t="s">
        <v>125</v>
      </c>
      <c r="C23" t="s">
        <v>31</v>
      </c>
      <c r="D23" t="b">
        <v>1</v>
      </c>
      <c r="E23">
        <v>10</v>
      </c>
      <c r="F23">
        <v>10</v>
      </c>
    </row>
    <row r="24" spans="1:6">
      <c r="A24">
        <v>23</v>
      </c>
      <c r="B24" t="s">
        <v>125</v>
      </c>
      <c r="C24" t="s">
        <v>32</v>
      </c>
      <c r="D24" t="b">
        <v>1</v>
      </c>
      <c r="E24">
        <v>10</v>
      </c>
      <c r="F24">
        <v>10</v>
      </c>
    </row>
    <row r="25" spans="1:6">
      <c r="A25">
        <v>24</v>
      </c>
      <c r="B25" t="s">
        <v>125</v>
      </c>
      <c r="C25" t="s">
        <v>33</v>
      </c>
      <c r="D25" t="b">
        <v>1</v>
      </c>
      <c r="E25">
        <v>10</v>
      </c>
      <c r="F25">
        <v>10</v>
      </c>
    </row>
    <row r="26" spans="1:6">
      <c r="A26">
        <v>25</v>
      </c>
      <c r="B26" t="s">
        <v>125</v>
      </c>
      <c r="C26" t="s">
        <v>34</v>
      </c>
      <c r="D26" t="b">
        <v>1</v>
      </c>
      <c r="E26">
        <v>5</v>
      </c>
      <c r="F26">
        <v>5</v>
      </c>
    </row>
    <row r="27" spans="1:6">
      <c r="A27">
        <v>26</v>
      </c>
      <c r="B27" t="s">
        <v>125</v>
      </c>
      <c r="C27" t="s">
        <v>35</v>
      </c>
      <c r="D27" t="b">
        <v>1</v>
      </c>
      <c r="E27">
        <v>9</v>
      </c>
      <c r="F27">
        <v>9</v>
      </c>
    </row>
    <row r="28" spans="1:6">
      <c r="A28">
        <v>27</v>
      </c>
      <c r="B28" t="s">
        <v>125</v>
      </c>
      <c r="C28" t="s">
        <v>36</v>
      </c>
      <c r="D28" t="b">
        <v>1</v>
      </c>
      <c r="E28">
        <v>10</v>
      </c>
      <c r="F28">
        <v>10</v>
      </c>
    </row>
    <row r="29" spans="1:6">
      <c r="A29">
        <v>28</v>
      </c>
      <c r="B29" t="s">
        <v>125</v>
      </c>
      <c r="C29" t="s">
        <v>290</v>
      </c>
      <c r="D29" t="b">
        <v>1</v>
      </c>
      <c r="E29">
        <v>10</v>
      </c>
      <c r="F29">
        <v>10</v>
      </c>
    </row>
    <row r="30" spans="1:6">
      <c r="A30">
        <v>29</v>
      </c>
      <c r="B30" t="s">
        <v>125</v>
      </c>
      <c r="C30" t="s">
        <v>292</v>
      </c>
      <c r="D30" t="b">
        <v>1</v>
      </c>
      <c r="E30">
        <v>10</v>
      </c>
      <c r="F30">
        <v>10</v>
      </c>
    </row>
    <row r="31" spans="1:6">
      <c r="A31">
        <v>30</v>
      </c>
      <c r="B31" t="s">
        <v>125</v>
      </c>
      <c r="C31" t="s">
        <v>294</v>
      </c>
      <c r="D31" t="b">
        <v>1</v>
      </c>
      <c r="E31">
        <v>10</v>
      </c>
      <c r="F31">
        <v>10</v>
      </c>
    </row>
    <row r="32" spans="1:6">
      <c r="A32">
        <v>31</v>
      </c>
      <c r="B32" t="s">
        <v>125</v>
      </c>
      <c r="C32" t="s">
        <v>296</v>
      </c>
      <c r="D32" t="b">
        <v>1</v>
      </c>
      <c r="E32">
        <v>9</v>
      </c>
      <c r="F32">
        <v>9</v>
      </c>
    </row>
    <row r="33" spans="1:6">
      <c r="A33">
        <v>32</v>
      </c>
      <c r="B33" t="s">
        <v>125</v>
      </c>
      <c r="C33" t="s">
        <v>298</v>
      </c>
      <c r="D33" t="b">
        <v>1</v>
      </c>
      <c r="E33">
        <v>10</v>
      </c>
      <c r="F33">
        <v>10</v>
      </c>
    </row>
    <row r="34" spans="1:6">
      <c r="A34">
        <v>33</v>
      </c>
      <c r="B34" t="s">
        <v>125</v>
      </c>
      <c r="C34" t="s">
        <v>300</v>
      </c>
      <c r="D34" t="b">
        <v>1</v>
      </c>
      <c r="E34">
        <v>6</v>
      </c>
      <c r="F34">
        <v>6</v>
      </c>
    </row>
    <row r="35" spans="1:6">
      <c r="A35">
        <v>34</v>
      </c>
      <c r="B35" t="s">
        <v>125</v>
      </c>
      <c r="C35" t="s">
        <v>302</v>
      </c>
      <c r="D35" t="b">
        <v>1</v>
      </c>
      <c r="E35">
        <v>5</v>
      </c>
      <c r="F35">
        <v>5</v>
      </c>
    </row>
    <row r="36" spans="1:6">
      <c r="A36">
        <v>35</v>
      </c>
      <c r="B36" t="s">
        <v>125</v>
      </c>
      <c r="C36" t="s">
        <v>304</v>
      </c>
      <c r="D36" t="b">
        <v>1</v>
      </c>
      <c r="E36">
        <v>5</v>
      </c>
      <c r="F36">
        <v>5</v>
      </c>
    </row>
    <row r="37" spans="1:6">
      <c r="A37">
        <v>36</v>
      </c>
      <c r="B37" t="s">
        <v>125</v>
      </c>
      <c r="C37" t="s">
        <v>306</v>
      </c>
      <c r="D37" t="b">
        <v>1</v>
      </c>
      <c r="E37">
        <v>8</v>
      </c>
      <c r="F37">
        <v>8</v>
      </c>
    </row>
    <row r="38" spans="1:6">
      <c r="A38">
        <v>37</v>
      </c>
      <c r="B38" t="s">
        <v>125</v>
      </c>
      <c r="C38" t="s">
        <v>37</v>
      </c>
      <c r="D38" t="b">
        <v>1</v>
      </c>
      <c r="E38">
        <v>6</v>
      </c>
      <c r="F38">
        <v>6</v>
      </c>
    </row>
    <row r="39" spans="1:6">
      <c r="A39">
        <v>38</v>
      </c>
      <c r="B39" t="s">
        <v>125</v>
      </c>
      <c r="C39" t="s">
        <v>38</v>
      </c>
      <c r="D39" t="b">
        <v>1</v>
      </c>
      <c r="E39">
        <v>7</v>
      </c>
      <c r="F39">
        <v>7</v>
      </c>
    </row>
    <row r="40" spans="1:6">
      <c r="A40">
        <v>39</v>
      </c>
      <c r="B40" t="s">
        <v>125</v>
      </c>
      <c r="C40" t="s">
        <v>39</v>
      </c>
      <c r="D40" t="b">
        <v>1</v>
      </c>
      <c r="E40">
        <v>16</v>
      </c>
      <c r="F40">
        <v>16</v>
      </c>
    </row>
    <row r="41" spans="1:6">
      <c r="A41">
        <v>40</v>
      </c>
      <c r="B41" t="s">
        <v>125</v>
      </c>
      <c r="C41" t="s">
        <v>40</v>
      </c>
      <c r="D41" t="b">
        <v>1</v>
      </c>
      <c r="E41">
        <v>9</v>
      </c>
      <c r="F41">
        <v>9</v>
      </c>
    </row>
    <row r="42" spans="1:6">
      <c r="A42">
        <v>41</v>
      </c>
      <c r="B42" t="s">
        <v>125</v>
      </c>
      <c r="C42" t="s">
        <v>41</v>
      </c>
      <c r="D42" t="b">
        <v>1</v>
      </c>
      <c r="E42">
        <v>5</v>
      </c>
      <c r="F42">
        <v>5</v>
      </c>
    </row>
    <row r="43" spans="1:6">
      <c r="A43">
        <v>42</v>
      </c>
      <c r="B43" t="s">
        <v>125</v>
      </c>
      <c r="C43" t="s">
        <v>42</v>
      </c>
      <c r="D43" t="b">
        <v>1</v>
      </c>
      <c r="E43">
        <v>35</v>
      </c>
      <c r="F43">
        <v>35</v>
      </c>
    </row>
    <row r="44" spans="1:6">
      <c r="A44">
        <v>43</v>
      </c>
      <c r="B44" t="s">
        <v>125</v>
      </c>
      <c r="C44" t="s">
        <v>43</v>
      </c>
      <c r="D44" t="b">
        <v>1</v>
      </c>
      <c r="E44">
        <v>10</v>
      </c>
      <c r="F44">
        <v>10</v>
      </c>
    </row>
    <row r="45" spans="1:6">
      <c r="A45">
        <v>44</v>
      </c>
      <c r="B45" t="s">
        <v>125</v>
      </c>
      <c r="C45" t="s">
        <v>44</v>
      </c>
      <c r="D45" t="b">
        <v>1</v>
      </c>
      <c r="E45">
        <v>20</v>
      </c>
      <c r="F45">
        <v>20</v>
      </c>
    </row>
    <row r="46" spans="1:6">
      <c r="A46">
        <v>45</v>
      </c>
      <c r="B46" t="s">
        <v>125</v>
      </c>
      <c r="C46" t="s">
        <v>45</v>
      </c>
      <c r="D46" t="b">
        <v>1</v>
      </c>
      <c r="E46">
        <v>25</v>
      </c>
      <c r="F46">
        <v>25</v>
      </c>
    </row>
    <row r="47" spans="1:6">
      <c r="A47">
        <v>46</v>
      </c>
      <c r="B47" t="s">
        <v>125</v>
      </c>
      <c r="C47" t="s">
        <v>46</v>
      </c>
      <c r="D47" t="b">
        <v>1</v>
      </c>
      <c r="E47">
        <v>25</v>
      </c>
      <c r="F47">
        <v>25</v>
      </c>
    </row>
    <row r="48" spans="1:6">
      <c r="A48">
        <v>47</v>
      </c>
      <c r="B48" t="s">
        <v>125</v>
      </c>
      <c r="C48" t="s">
        <v>134</v>
      </c>
      <c r="D48" t="b">
        <v>1</v>
      </c>
      <c r="E48">
        <v>15</v>
      </c>
      <c r="F48">
        <v>15</v>
      </c>
    </row>
    <row r="49" spans="1:6">
      <c r="A49">
        <v>48</v>
      </c>
      <c r="B49" t="s">
        <v>125</v>
      </c>
      <c r="C49" t="s">
        <v>135</v>
      </c>
      <c r="D49" t="b">
        <v>1</v>
      </c>
      <c r="E49">
        <v>10</v>
      </c>
      <c r="F49">
        <v>10</v>
      </c>
    </row>
    <row r="50" spans="1:6">
      <c r="A50">
        <v>49</v>
      </c>
      <c r="B50" t="s">
        <v>125</v>
      </c>
      <c r="C50" t="s">
        <v>136</v>
      </c>
      <c r="D50" t="b">
        <v>1</v>
      </c>
      <c r="E50">
        <v>25</v>
      </c>
      <c r="F50">
        <v>25</v>
      </c>
    </row>
    <row r="51" spans="1:6">
      <c r="A51">
        <v>50</v>
      </c>
      <c r="B51" t="s">
        <v>125</v>
      </c>
      <c r="C51" t="s">
        <v>137</v>
      </c>
      <c r="D51" t="b">
        <v>1</v>
      </c>
      <c r="E51">
        <v>9</v>
      </c>
      <c r="F51">
        <v>9</v>
      </c>
    </row>
    <row r="52" spans="1:6">
      <c r="A52">
        <v>51</v>
      </c>
      <c r="B52" t="s">
        <v>125</v>
      </c>
      <c r="C52" t="s">
        <v>138</v>
      </c>
      <c r="D52" t="b">
        <v>1</v>
      </c>
      <c r="E52">
        <v>20</v>
      </c>
      <c r="F52">
        <v>20</v>
      </c>
    </row>
    <row r="53" spans="1:6">
      <c r="A53">
        <v>52</v>
      </c>
      <c r="B53" t="s">
        <v>125</v>
      </c>
      <c r="C53" t="s">
        <v>139</v>
      </c>
      <c r="D53" t="b">
        <v>1</v>
      </c>
      <c r="E53">
        <v>10</v>
      </c>
      <c r="F53">
        <v>10</v>
      </c>
    </row>
    <row r="54" spans="1:6">
      <c r="A54">
        <v>53</v>
      </c>
      <c r="B54" t="s">
        <v>125</v>
      </c>
      <c r="C54" t="s">
        <v>140</v>
      </c>
      <c r="D54" t="b">
        <v>1</v>
      </c>
      <c r="E54">
        <v>19</v>
      </c>
      <c r="F54">
        <v>19</v>
      </c>
    </row>
    <row r="55" spans="1:6">
      <c r="A55">
        <v>54</v>
      </c>
      <c r="B55" t="s">
        <v>125</v>
      </c>
      <c r="C55" t="s">
        <v>141</v>
      </c>
      <c r="D55" t="b">
        <v>1</v>
      </c>
      <c r="E55">
        <v>21</v>
      </c>
      <c r="F55">
        <v>21</v>
      </c>
    </row>
    <row r="56" spans="1:6">
      <c r="A56">
        <v>55</v>
      </c>
      <c r="B56" t="s">
        <v>125</v>
      </c>
      <c r="C56" t="s">
        <v>142</v>
      </c>
      <c r="D56" t="b">
        <v>1</v>
      </c>
      <c r="E56">
        <v>5</v>
      </c>
      <c r="F56">
        <v>5</v>
      </c>
    </row>
    <row r="57" spans="1:6">
      <c r="A57">
        <v>56</v>
      </c>
      <c r="B57" t="s">
        <v>125</v>
      </c>
      <c r="C57" t="s">
        <v>143</v>
      </c>
      <c r="D57" t="b">
        <v>1</v>
      </c>
      <c r="E57">
        <v>8</v>
      </c>
      <c r="F57">
        <v>8</v>
      </c>
    </row>
    <row r="58" spans="1:6">
      <c r="A58">
        <v>57</v>
      </c>
      <c r="B58" t="s">
        <v>125</v>
      </c>
      <c r="C58" t="s">
        <v>148</v>
      </c>
      <c r="D58" t="b">
        <v>1</v>
      </c>
      <c r="E58">
        <v>38</v>
      </c>
      <c r="F58">
        <v>38</v>
      </c>
    </row>
    <row r="59" spans="1:6">
      <c r="A59">
        <v>58</v>
      </c>
      <c r="B59" t="s">
        <v>125</v>
      </c>
      <c r="C59" t="s">
        <v>163</v>
      </c>
      <c r="D59" t="b">
        <v>1</v>
      </c>
      <c r="E59">
        <v>170</v>
      </c>
      <c r="F59">
        <v>170</v>
      </c>
    </row>
    <row r="60" spans="1:6">
      <c r="A60">
        <v>59</v>
      </c>
      <c r="B60" t="s">
        <v>125</v>
      </c>
      <c r="C60" t="s">
        <v>168</v>
      </c>
      <c r="D60" t="b">
        <v>1</v>
      </c>
      <c r="E60">
        <v>58</v>
      </c>
      <c r="F60">
        <v>58</v>
      </c>
    </row>
    <row r="61" spans="1:6">
      <c r="A61">
        <v>60</v>
      </c>
      <c r="B61" t="s">
        <v>125</v>
      </c>
      <c r="C61" t="s">
        <v>169</v>
      </c>
      <c r="D61" t="b">
        <v>1</v>
      </c>
      <c r="E61">
        <v>34</v>
      </c>
      <c r="F61">
        <v>34</v>
      </c>
    </row>
    <row r="62" spans="1:6">
      <c r="A62">
        <v>61</v>
      </c>
      <c r="B62" t="s">
        <v>125</v>
      </c>
      <c r="C62" t="s">
        <v>144</v>
      </c>
      <c r="D62" t="b">
        <v>1</v>
      </c>
      <c r="E62">
        <v>300</v>
      </c>
      <c r="F62">
        <v>300</v>
      </c>
    </row>
  </sheetData>
  <sheetProtection algorithmName="SHA-512" hashValue="v8VVHud6JbEQqx2XY832mcVqVNsBNK3RvPCUvwtiT/ZIplwL/hU1QIbYohuoBpXxx9ifRvKN3fTHHbKMiq9HMg==" saltValue="/QOsnZnQoGy7ykhSmgxq9w==" spinCount="100000" sheet="1" objects="1" scenarios="1" formatCells="0"/>
  <phoneticPr fontId="5"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F62"/>
  <sheetViews>
    <sheetView workbookViewId="0">
      <pane ySplit="1" topLeftCell="A2" activePane="bottomLeft" state="frozen"/>
      <selection sqref="A1:G1"/>
      <selection pane="bottomLeft" activeCell="A2" sqref="A2"/>
    </sheetView>
  </sheetViews>
  <sheetFormatPr defaultColWidth="9.1796875" defaultRowHeight="14.5"/>
  <cols>
    <col min="1" max="1" width="18.1796875" customWidth="1"/>
    <col min="2" max="2" width="18.81640625" customWidth="1"/>
    <col min="3" max="3" width="34.36328125" customWidth="1"/>
  </cols>
  <sheetData>
    <row r="1" spans="1:6" s="2" customFormat="1">
      <c r="A1" s="2" t="s">
        <v>47</v>
      </c>
      <c r="B1" s="2" t="s">
        <v>48</v>
      </c>
      <c r="C1" s="2" t="s">
        <v>49</v>
      </c>
      <c r="D1" s="2" t="s">
        <v>105</v>
      </c>
      <c r="E1" s="2" t="s">
        <v>107</v>
      </c>
      <c r="F1" s="2" t="s">
        <v>106</v>
      </c>
    </row>
    <row r="2" spans="1:6">
      <c r="A2" t="s">
        <v>125</v>
      </c>
      <c r="B2" t="s">
        <v>11</v>
      </c>
      <c r="C2" t="b">
        <v>1</v>
      </c>
      <c r="D2">
        <v>6</v>
      </c>
      <c r="E2">
        <v>6</v>
      </c>
    </row>
    <row r="3" spans="1:6">
      <c r="A3" t="s">
        <v>125</v>
      </c>
      <c r="B3" t="s">
        <v>12</v>
      </c>
      <c r="C3" t="b">
        <v>1</v>
      </c>
      <c r="D3">
        <v>7</v>
      </c>
      <c r="E3">
        <v>7</v>
      </c>
    </row>
    <row r="4" spans="1:6">
      <c r="A4" t="s">
        <v>125</v>
      </c>
      <c r="B4" t="s">
        <v>13</v>
      </c>
      <c r="C4" t="b">
        <v>1</v>
      </c>
      <c r="D4">
        <v>10</v>
      </c>
      <c r="E4">
        <v>10</v>
      </c>
    </row>
    <row r="5" spans="1:6">
      <c r="A5" t="s">
        <v>125</v>
      </c>
      <c r="B5" t="s">
        <v>14</v>
      </c>
      <c r="C5" t="b">
        <v>1</v>
      </c>
      <c r="D5">
        <v>6</v>
      </c>
      <c r="E5">
        <v>6</v>
      </c>
    </row>
    <row r="6" spans="1:6">
      <c r="A6" t="s">
        <v>125</v>
      </c>
      <c r="B6" t="s">
        <v>15</v>
      </c>
      <c r="C6" t="b">
        <v>1</v>
      </c>
      <c r="D6">
        <v>9</v>
      </c>
      <c r="E6">
        <v>9</v>
      </c>
    </row>
    <row r="7" spans="1:6">
      <c r="A7" t="s">
        <v>125</v>
      </c>
      <c r="B7" t="s">
        <v>16</v>
      </c>
      <c r="C7" t="b">
        <v>1</v>
      </c>
      <c r="D7">
        <v>5</v>
      </c>
      <c r="E7">
        <v>5</v>
      </c>
    </row>
    <row r="8" spans="1:6">
      <c r="A8" t="s">
        <v>125</v>
      </c>
      <c r="B8" t="s">
        <v>17</v>
      </c>
      <c r="C8" t="b">
        <v>1</v>
      </c>
      <c r="D8">
        <v>10</v>
      </c>
      <c r="E8">
        <v>10</v>
      </c>
    </row>
    <row r="9" spans="1:6">
      <c r="A9" t="s">
        <v>125</v>
      </c>
      <c r="B9" t="s">
        <v>18</v>
      </c>
      <c r="C9" t="b">
        <v>1</v>
      </c>
      <c r="D9">
        <v>10</v>
      </c>
      <c r="E9">
        <v>10</v>
      </c>
    </row>
    <row r="10" spans="1:6">
      <c r="A10" t="s">
        <v>125</v>
      </c>
      <c r="B10" t="s">
        <v>19</v>
      </c>
      <c r="C10" t="b">
        <v>1</v>
      </c>
      <c r="D10">
        <v>10</v>
      </c>
      <c r="E10">
        <v>10</v>
      </c>
    </row>
    <row r="11" spans="1:6">
      <c r="A11" t="s">
        <v>125</v>
      </c>
      <c r="B11" t="s">
        <v>20</v>
      </c>
      <c r="C11" t="b">
        <v>1</v>
      </c>
      <c r="D11">
        <v>5</v>
      </c>
      <c r="E11">
        <v>5</v>
      </c>
    </row>
    <row r="12" spans="1:6">
      <c r="A12" t="s">
        <v>125</v>
      </c>
      <c r="B12" t="s">
        <v>21</v>
      </c>
      <c r="C12" t="b">
        <v>1</v>
      </c>
      <c r="D12">
        <v>10</v>
      </c>
      <c r="E12">
        <v>10</v>
      </c>
    </row>
    <row r="13" spans="1:6">
      <c r="A13" t="s">
        <v>125</v>
      </c>
      <c r="B13" t="s">
        <v>22</v>
      </c>
      <c r="C13" t="b">
        <v>1</v>
      </c>
      <c r="D13">
        <v>10</v>
      </c>
      <c r="E13">
        <v>10</v>
      </c>
    </row>
    <row r="14" spans="1:6">
      <c r="A14" t="s">
        <v>125</v>
      </c>
      <c r="B14" t="s">
        <v>23</v>
      </c>
      <c r="C14" t="b">
        <v>1</v>
      </c>
      <c r="D14">
        <v>10</v>
      </c>
      <c r="E14">
        <v>10</v>
      </c>
    </row>
    <row r="15" spans="1:6">
      <c r="A15" t="s">
        <v>125</v>
      </c>
      <c r="B15" t="s">
        <v>24</v>
      </c>
      <c r="C15" t="b">
        <v>1</v>
      </c>
      <c r="D15">
        <v>10</v>
      </c>
      <c r="E15">
        <v>10</v>
      </c>
    </row>
    <row r="16" spans="1:6">
      <c r="A16" t="s">
        <v>125</v>
      </c>
      <c r="B16" t="s">
        <v>25</v>
      </c>
      <c r="C16" t="b">
        <v>1</v>
      </c>
      <c r="D16">
        <v>10</v>
      </c>
      <c r="E16">
        <v>10</v>
      </c>
    </row>
    <row r="17" spans="1:5">
      <c r="A17" t="s">
        <v>125</v>
      </c>
      <c r="B17" t="s">
        <v>26</v>
      </c>
      <c r="C17" t="b">
        <v>1</v>
      </c>
      <c r="D17">
        <v>5</v>
      </c>
      <c r="E17">
        <v>5</v>
      </c>
    </row>
    <row r="18" spans="1:5">
      <c r="A18" t="s">
        <v>125</v>
      </c>
      <c r="B18" t="s">
        <v>27</v>
      </c>
      <c r="C18" t="b">
        <v>1</v>
      </c>
      <c r="D18">
        <v>10</v>
      </c>
      <c r="E18">
        <v>10</v>
      </c>
    </row>
    <row r="19" spans="1:5">
      <c r="A19" t="s">
        <v>125</v>
      </c>
      <c r="B19" t="s">
        <v>28</v>
      </c>
      <c r="C19" t="b">
        <v>1</v>
      </c>
      <c r="D19">
        <v>5</v>
      </c>
      <c r="E19">
        <v>5</v>
      </c>
    </row>
    <row r="20" spans="1:5">
      <c r="A20" t="s">
        <v>125</v>
      </c>
      <c r="B20" t="s">
        <v>29</v>
      </c>
      <c r="C20" t="b">
        <v>1</v>
      </c>
      <c r="D20">
        <v>10</v>
      </c>
      <c r="E20">
        <v>10</v>
      </c>
    </row>
    <row r="21" spans="1:5">
      <c r="A21" t="s">
        <v>125</v>
      </c>
      <c r="B21" t="s">
        <v>149</v>
      </c>
      <c r="C21" t="b">
        <v>1</v>
      </c>
      <c r="D21">
        <v>9</v>
      </c>
      <c r="E21">
        <v>9</v>
      </c>
    </row>
    <row r="22" spans="1:5">
      <c r="A22" t="s">
        <v>125</v>
      </c>
      <c r="B22" t="s">
        <v>30</v>
      </c>
      <c r="C22" t="b">
        <v>1</v>
      </c>
      <c r="D22">
        <v>6</v>
      </c>
      <c r="E22">
        <v>6</v>
      </c>
    </row>
    <row r="23" spans="1:5">
      <c r="A23" t="s">
        <v>125</v>
      </c>
      <c r="B23" t="s">
        <v>31</v>
      </c>
      <c r="C23" t="b">
        <v>1</v>
      </c>
      <c r="D23">
        <v>10</v>
      </c>
      <c r="E23">
        <v>10</v>
      </c>
    </row>
    <row r="24" spans="1:5">
      <c r="A24" t="s">
        <v>125</v>
      </c>
      <c r="B24" t="s">
        <v>32</v>
      </c>
      <c r="C24" t="b">
        <v>1</v>
      </c>
      <c r="D24">
        <v>10</v>
      </c>
      <c r="E24">
        <v>10</v>
      </c>
    </row>
    <row r="25" spans="1:5">
      <c r="A25" t="s">
        <v>125</v>
      </c>
      <c r="B25" t="s">
        <v>33</v>
      </c>
      <c r="C25" t="b">
        <v>1</v>
      </c>
      <c r="D25">
        <v>10</v>
      </c>
      <c r="E25">
        <v>10</v>
      </c>
    </row>
    <row r="26" spans="1:5">
      <c r="A26" t="s">
        <v>125</v>
      </c>
      <c r="B26" t="s">
        <v>34</v>
      </c>
      <c r="C26" t="b">
        <v>1</v>
      </c>
      <c r="D26">
        <v>5</v>
      </c>
      <c r="E26">
        <v>5</v>
      </c>
    </row>
    <row r="27" spans="1:5">
      <c r="A27" t="s">
        <v>125</v>
      </c>
      <c r="B27" t="s">
        <v>35</v>
      </c>
      <c r="C27" t="b">
        <v>1</v>
      </c>
      <c r="D27">
        <v>9</v>
      </c>
      <c r="E27">
        <v>9</v>
      </c>
    </row>
    <row r="28" spans="1:5">
      <c r="A28" t="s">
        <v>125</v>
      </c>
      <c r="B28" t="s">
        <v>36</v>
      </c>
      <c r="C28" t="b">
        <v>1</v>
      </c>
      <c r="D28">
        <v>10</v>
      </c>
      <c r="E28">
        <v>10</v>
      </c>
    </row>
    <row r="29" spans="1:5">
      <c r="A29" t="s">
        <v>125</v>
      </c>
      <c r="B29" t="s">
        <v>290</v>
      </c>
      <c r="C29" t="b">
        <v>1</v>
      </c>
      <c r="D29">
        <v>10</v>
      </c>
      <c r="E29">
        <v>10</v>
      </c>
    </row>
    <row r="30" spans="1:5">
      <c r="A30" t="s">
        <v>125</v>
      </c>
      <c r="B30" t="s">
        <v>292</v>
      </c>
      <c r="C30" t="b">
        <v>1</v>
      </c>
      <c r="D30">
        <v>10</v>
      </c>
      <c r="E30">
        <v>10</v>
      </c>
    </row>
    <row r="31" spans="1:5">
      <c r="A31" t="s">
        <v>125</v>
      </c>
      <c r="B31" t="s">
        <v>294</v>
      </c>
      <c r="C31" t="b">
        <v>1</v>
      </c>
      <c r="D31">
        <v>10</v>
      </c>
      <c r="E31">
        <v>10</v>
      </c>
    </row>
    <row r="32" spans="1:5">
      <c r="A32" t="s">
        <v>125</v>
      </c>
      <c r="B32" t="s">
        <v>296</v>
      </c>
      <c r="C32" t="b">
        <v>1</v>
      </c>
      <c r="D32">
        <v>9</v>
      </c>
      <c r="E32">
        <v>9</v>
      </c>
    </row>
    <row r="33" spans="1:5">
      <c r="A33" t="s">
        <v>125</v>
      </c>
      <c r="B33" t="s">
        <v>298</v>
      </c>
      <c r="C33" t="b">
        <v>1</v>
      </c>
      <c r="D33">
        <v>10</v>
      </c>
      <c r="E33">
        <v>10</v>
      </c>
    </row>
    <row r="34" spans="1:5">
      <c r="A34" t="s">
        <v>125</v>
      </c>
      <c r="B34" t="s">
        <v>300</v>
      </c>
      <c r="C34" t="b">
        <v>1</v>
      </c>
      <c r="D34">
        <v>6</v>
      </c>
      <c r="E34">
        <v>6</v>
      </c>
    </row>
    <row r="35" spans="1:5">
      <c r="A35" t="s">
        <v>125</v>
      </c>
      <c r="B35" t="s">
        <v>302</v>
      </c>
      <c r="C35" t="b">
        <v>1</v>
      </c>
      <c r="D35">
        <v>5</v>
      </c>
      <c r="E35">
        <v>5</v>
      </c>
    </row>
    <row r="36" spans="1:5">
      <c r="A36" t="s">
        <v>125</v>
      </c>
      <c r="B36" t="s">
        <v>304</v>
      </c>
      <c r="C36" t="b">
        <v>1</v>
      </c>
      <c r="D36">
        <v>5</v>
      </c>
      <c r="E36">
        <v>5</v>
      </c>
    </row>
    <row r="37" spans="1:5">
      <c r="A37" t="s">
        <v>125</v>
      </c>
      <c r="B37" t="s">
        <v>306</v>
      </c>
      <c r="C37" t="b">
        <v>1</v>
      </c>
      <c r="D37">
        <v>8</v>
      </c>
      <c r="E37">
        <v>8</v>
      </c>
    </row>
    <row r="38" spans="1:5">
      <c r="A38" t="s">
        <v>125</v>
      </c>
      <c r="B38" t="s">
        <v>37</v>
      </c>
      <c r="C38" t="b">
        <v>1</v>
      </c>
      <c r="D38">
        <v>6</v>
      </c>
      <c r="E38">
        <v>6</v>
      </c>
    </row>
    <row r="39" spans="1:5">
      <c r="A39" t="s">
        <v>125</v>
      </c>
      <c r="B39" t="s">
        <v>38</v>
      </c>
      <c r="C39" t="b">
        <v>1</v>
      </c>
      <c r="D39">
        <v>7</v>
      </c>
      <c r="E39">
        <v>7</v>
      </c>
    </row>
    <row r="40" spans="1:5">
      <c r="A40" t="s">
        <v>125</v>
      </c>
      <c r="B40" t="s">
        <v>39</v>
      </c>
      <c r="C40" t="b">
        <v>1</v>
      </c>
      <c r="D40">
        <v>16</v>
      </c>
      <c r="E40">
        <v>16</v>
      </c>
    </row>
    <row r="41" spans="1:5">
      <c r="A41" t="s">
        <v>125</v>
      </c>
      <c r="B41" t="s">
        <v>40</v>
      </c>
      <c r="C41" t="b">
        <v>1</v>
      </c>
      <c r="D41">
        <v>9</v>
      </c>
      <c r="E41">
        <v>9</v>
      </c>
    </row>
    <row r="42" spans="1:5">
      <c r="A42" t="s">
        <v>125</v>
      </c>
      <c r="B42" t="s">
        <v>41</v>
      </c>
      <c r="C42" t="b">
        <v>1</v>
      </c>
      <c r="D42">
        <v>5</v>
      </c>
      <c r="E42">
        <v>5</v>
      </c>
    </row>
    <row r="43" spans="1:5">
      <c r="A43" t="s">
        <v>125</v>
      </c>
      <c r="B43" t="s">
        <v>42</v>
      </c>
      <c r="C43" t="b">
        <v>1</v>
      </c>
      <c r="D43">
        <v>35</v>
      </c>
      <c r="E43">
        <v>35</v>
      </c>
    </row>
    <row r="44" spans="1:5">
      <c r="A44" t="s">
        <v>125</v>
      </c>
      <c r="B44" t="s">
        <v>43</v>
      </c>
      <c r="C44" t="b">
        <v>1</v>
      </c>
      <c r="D44">
        <v>10</v>
      </c>
      <c r="E44">
        <v>10</v>
      </c>
    </row>
    <row r="45" spans="1:5">
      <c r="A45" t="s">
        <v>125</v>
      </c>
      <c r="B45" t="s">
        <v>44</v>
      </c>
      <c r="C45" t="b">
        <v>1</v>
      </c>
      <c r="D45">
        <v>20</v>
      </c>
      <c r="E45">
        <v>20</v>
      </c>
    </row>
    <row r="46" spans="1:5">
      <c r="A46" t="s">
        <v>125</v>
      </c>
      <c r="B46" t="s">
        <v>45</v>
      </c>
      <c r="C46" t="b">
        <v>1</v>
      </c>
      <c r="D46">
        <v>25</v>
      </c>
      <c r="E46">
        <v>25</v>
      </c>
    </row>
    <row r="47" spans="1:5">
      <c r="A47" t="s">
        <v>125</v>
      </c>
      <c r="B47" t="s">
        <v>46</v>
      </c>
      <c r="C47" t="b">
        <v>1</v>
      </c>
      <c r="D47">
        <v>25</v>
      </c>
      <c r="E47">
        <v>25</v>
      </c>
    </row>
    <row r="48" spans="1:5">
      <c r="A48" t="s">
        <v>125</v>
      </c>
      <c r="B48" t="s">
        <v>134</v>
      </c>
      <c r="C48" t="b">
        <v>1</v>
      </c>
      <c r="D48">
        <v>15</v>
      </c>
      <c r="E48">
        <v>15</v>
      </c>
    </row>
    <row r="49" spans="1:5">
      <c r="A49" t="s">
        <v>125</v>
      </c>
      <c r="B49" t="s">
        <v>135</v>
      </c>
      <c r="C49" t="b">
        <v>1</v>
      </c>
      <c r="D49">
        <v>10</v>
      </c>
      <c r="E49">
        <v>10</v>
      </c>
    </row>
    <row r="50" spans="1:5">
      <c r="A50" t="s">
        <v>125</v>
      </c>
      <c r="B50" t="s">
        <v>136</v>
      </c>
      <c r="C50" t="b">
        <v>1</v>
      </c>
      <c r="D50">
        <v>25</v>
      </c>
      <c r="E50">
        <v>25</v>
      </c>
    </row>
    <row r="51" spans="1:5">
      <c r="A51" t="s">
        <v>125</v>
      </c>
      <c r="B51" t="s">
        <v>137</v>
      </c>
      <c r="C51" t="b">
        <v>1</v>
      </c>
      <c r="D51">
        <v>9</v>
      </c>
      <c r="E51">
        <v>9</v>
      </c>
    </row>
    <row r="52" spans="1:5">
      <c r="A52" t="s">
        <v>125</v>
      </c>
      <c r="B52" t="s">
        <v>138</v>
      </c>
      <c r="C52" t="b">
        <v>1</v>
      </c>
      <c r="D52">
        <v>20</v>
      </c>
      <c r="E52">
        <v>20</v>
      </c>
    </row>
    <row r="53" spans="1:5">
      <c r="A53" t="s">
        <v>125</v>
      </c>
      <c r="B53" t="s">
        <v>139</v>
      </c>
      <c r="C53" t="b">
        <v>1</v>
      </c>
      <c r="D53">
        <v>10</v>
      </c>
      <c r="E53">
        <v>10</v>
      </c>
    </row>
    <row r="54" spans="1:5">
      <c r="A54" t="s">
        <v>125</v>
      </c>
      <c r="B54" t="s">
        <v>140</v>
      </c>
      <c r="C54" t="b">
        <v>1</v>
      </c>
      <c r="D54">
        <v>19</v>
      </c>
      <c r="E54">
        <v>19</v>
      </c>
    </row>
    <row r="55" spans="1:5">
      <c r="A55" t="s">
        <v>125</v>
      </c>
      <c r="B55" t="s">
        <v>141</v>
      </c>
      <c r="C55" t="b">
        <v>1</v>
      </c>
      <c r="D55">
        <v>21</v>
      </c>
      <c r="E55">
        <v>21</v>
      </c>
    </row>
    <row r="56" spans="1:5">
      <c r="A56" t="s">
        <v>125</v>
      </c>
      <c r="B56" t="s">
        <v>142</v>
      </c>
      <c r="C56" t="b">
        <v>1</v>
      </c>
      <c r="D56">
        <v>5</v>
      </c>
      <c r="E56">
        <v>5</v>
      </c>
    </row>
    <row r="57" spans="1:5">
      <c r="A57" t="s">
        <v>125</v>
      </c>
      <c r="B57" t="s">
        <v>143</v>
      </c>
      <c r="C57" t="b">
        <v>1</v>
      </c>
      <c r="D57">
        <v>8</v>
      </c>
      <c r="E57">
        <v>8</v>
      </c>
    </row>
    <row r="58" spans="1:5">
      <c r="A58" t="s">
        <v>125</v>
      </c>
      <c r="B58" t="s">
        <v>148</v>
      </c>
      <c r="C58" t="b">
        <v>1</v>
      </c>
      <c r="D58">
        <v>38</v>
      </c>
      <c r="E58">
        <v>38</v>
      </c>
    </row>
    <row r="59" spans="1:5">
      <c r="A59" t="s">
        <v>125</v>
      </c>
      <c r="B59" t="s">
        <v>163</v>
      </c>
      <c r="C59" t="b">
        <v>1</v>
      </c>
      <c r="D59">
        <v>170</v>
      </c>
      <c r="E59">
        <v>170</v>
      </c>
    </row>
    <row r="60" spans="1:5">
      <c r="A60" t="s">
        <v>125</v>
      </c>
      <c r="B60" t="s">
        <v>168</v>
      </c>
      <c r="C60" t="b">
        <v>1</v>
      </c>
      <c r="D60">
        <v>58</v>
      </c>
      <c r="E60">
        <v>58</v>
      </c>
    </row>
    <row r="61" spans="1:5">
      <c r="A61" t="s">
        <v>125</v>
      </c>
      <c r="B61" t="s">
        <v>169</v>
      </c>
      <c r="C61" t="b">
        <v>1</v>
      </c>
      <c r="D61">
        <v>34</v>
      </c>
      <c r="E61">
        <v>34</v>
      </c>
    </row>
    <row r="62" spans="1:5">
      <c r="A62" t="s">
        <v>125</v>
      </c>
      <c r="B62" t="s">
        <v>144</v>
      </c>
      <c r="C62" t="b">
        <v>1</v>
      </c>
      <c r="D62">
        <v>300</v>
      </c>
      <c r="E62">
        <v>300</v>
      </c>
    </row>
  </sheetData>
  <sheetProtection algorithmName="SHA-512" hashValue="9F6WW8fmKCn4CMqp9QJlnRC/h+RmyOlxuSkXpJ7LT/NyO4KwB97I4HvvvXRVWbU2RefiVNMLrCR6hVT+zJCsnQ==" saltValue="SY5v1M4p4HdJTv+qDL9N0w==" spinCount="100000" sheet="1" objects="1" scenarios="1" formatCells="0"/>
  <phoneticPr fontId="5"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62"/>
  <sheetViews>
    <sheetView workbookViewId="0">
      <pane ySplit="1" topLeftCell="A2" activePane="bottomLeft" state="frozen"/>
      <selection sqref="A1:G1"/>
      <selection pane="bottomLeft" activeCell="A2" sqref="A2"/>
    </sheetView>
  </sheetViews>
  <sheetFormatPr defaultColWidth="9.1796875" defaultRowHeight="14.5"/>
  <cols>
    <col min="1" max="1" width="24.81640625" customWidth="1"/>
    <col min="2" max="2" width="19" customWidth="1"/>
    <col min="3" max="3" width="14.7265625" customWidth="1"/>
    <col min="4" max="4" width="16" customWidth="1"/>
    <col min="5" max="5" width="9.26953125" style="1"/>
    <col min="6" max="6" width="21.26953125" customWidth="1"/>
  </cols>
  <sheetData>
    <row r="1" spans="1:6" s="2" customFormat="1">
      <c r="A1" s="2" t="s">
        <v>7</v>
      </c>
      <c r="B1" s="2" t="s">
        <v>8</v>
      </c>
      <c r="C1" s="2" t="s">
        <v>9</v>
      </c>
      <c r="D1" s="2" t="s">
        <v>10</v>
      </c>
      <c r="E1" s="3"/>
      <c r="F1" s="2" t="s">
        <v>98</v>
      </c>
    </row>
    <row r="2" spans="1:6">
      <c r="A2" t="s">
        <v>318</v>
      </c>
      <c r="B2" t="s">
        <v>11</v>
      </c>
      <c r="C2" t="s">
        <v>173</v>
      </c>
      <c r="E2"/>
    </row>
    <row r="3" spans="1:6">
      <c r="A3" t="s">
        <v>319</v>
      </c>
      <c r="B3" t="s">
        <v>12</v>
      </c>
      <c r="C3" t="s">
        <v>174</v>
      </c>
      <c r="E3"/>
    </row>
    <row r="4" spans="1:6">
      <c r="A4" t="s">
        <v>320</v>
      </c>
      <c r="B4" t="s">
        <v>13</v>
      </c>
      <c r="C4" t="s">
        <v>175</v>
      </c>
      <c r="E4"/>
    </row>
    <row r="5" spans="1:6">
      <c r="A5" t="s">
        <v>321</v>
      </c>
      <c r="B5" t="s">
        <v>14</v>
      </c>
      <c r="C5" t="s">
        <v>176</v>
      </c>
      <c r="E5"/>
    </row>
    <row r="6" spans="1:6">
      <c r="A6" t="s">
        <v>322</v>
      </c>
      <c r="B6" t="s">
        <v>15</v>
      </c>
      <c r="C6" t="s">
        <v>177</v>
      </c>
      <c r="E6"/>
    </row>
    <row r="7" spans="1:6">
      <c r="B7" t="s">
        <v>16</v>
      </c>
      <c r="C7" t="s">
        <v>178</v>
      </c>
      <c r="E7"/>
    </row>
    <row r="8" spans="1:6">
      <c r="B8" t="s">
        <v>17</v>
      </c>
      <c r="C8" t="s">
        <v>179</v>
      </c>
      <c r="E8"/>
    </row>
    <row r="9" spans="1:6">
      <c r="B9" t="s">
        <v>18</v>
      </c>
      <c r="C9" t="s">
        <v>180</v>
      </c>
      <c r="E9"/>
    </row>
    <row r="10" spans="1:6">
      <c r="B10" t="s">
        <v>19</v>
      </c>
      <c r="C10" t="s">
        <v>181</v>
      </c>
      <c r="E10"/>
    </row>
    <row r="11" spans="1:6">
      <c r="B11" t="s">
        <v>20</v>
      </c>
      <c r="C11" t="s">
        <v>182</v>
      </c>
      <c r="E11"/>
    </row>
    <row r="12" spans="1:6">
      <c r="B12" t="s">
        <v>21</v>
      </c>
      <c r="C12" t="s">
        <v>183</v>
      </c>
      <c r="E12"/>
    </row>
    <row r="13" spans="1:6">
      <c r="B13" t="s">
        <v>22</v>
      </c>
      <c r="C13" t="s">
        <v>184</v>
      </c>
      <c r="E13"/>
    </row>
    <row r="14" spans="1:6">
      <c r="B14" t="s">
        <v>23</v>
      </c>
      <c r="C14" t="s">
        <v>185</v>
      </c>
      <c r="E14"/>
    </row>
    <row r="15" spans="1:6">
      <c r="B15" t="s">
        <v>24</v>
      </c>
      <c r="C15" t="s">
        <v>186</v>
      </c>
      <c r="E15"/>
    </row>
    <row r="16" spans="1:6">
      <c r="B16" t="s">
        <v>25</v>
      </c>
      <c r="C16" t="s">
        <v>187</v>
      </c>
      <c r="E16"/>
    </row>
    <row r="17" spans="2:5">
      <c r="B17" t="s">
        <v>26</v>
      </c>
      <c r="C17" t="s">
        <v>188</v>
      </c>
      <c r="E17"/>
    </row>
    <row r="18" spans="2:5">
      <c r="B18" t="s">
        <v>27</v>
      </c>
      <c r="C18" t="s">
        <v>189</v>
      </c>
      <c r="E18"/>
    </row>
    <row r="19" spans="2:5">
      <c r="B19" t="s">
        <v>28</v>
      </c>
      <c r="C19" t="s">
        <v>190</v>
      </c>
      <c r="E19"/>
    </row>
    <row r="20" spans="2:5">
      <c r="B20" t="s">
        <v>29</v>
      </c>
      <c r="C20" t="s">
        <v>191</v>
      </c>
      <c r="E20"/>
    </row>
    <row r="21" spans="2:5">
      <c r="B21" t="s">
        <v>149</v>
      </c>
      <c r="C21" t="s">
        <v>192</v>
      </c>
      <c r="E21"/>
    </row>
    <row r="22" spans="2:5">
      <c r="B22" t="s">
        <v>30</v>
      </c>
      <c r="C22" t="s">
        <v>193</v>
      </c>
      <c r="E22"/>
    </row>
    <row r="23" spans="2:5">
      <c r="B23" t="s">
        <v>31</v>
      </c>
      <c r="C23" t="s">
        <v>194</v>
      </c>
      <c r="E23"/>
    </row>
    <row r="24" spans="2:5">
      <c r="B24" t="s">
        <v>32</v>
      </c>
      <c r="C24" t="s">
        <v>195</v>
      </c>
      <c r="E24"/>
    </row>
    <row r="25" spans="2:5">
      <c r="B25" t="s">
        <v>33</v>
      </c>
      <c r="C25" t="s">
        <v>196</v>
      </c>
      <c r="E25"/>
    </row>
    <row r="26" spans="2:5">
      <c r="B26" t="s">
        <v>34</v>
      </c>
      <c r="C26" t="s">
        <v>197</v>
      </c>
      <c r="E26"/>
    </row>
    <row r="27" spans="2:5">
      <c r="B27" t="s">
        <v>35</v>
      </c>
      <c r="C27" t="s">
        <v>198</v>
      </c>
      <c r="E27"/>
    </row>
    <row r="28" spans="2:5">
      <c r="B28" t="s">
        <v>36</v>
      </c>
      <c r="C28" t="s">
        <v>199</v>
      </c>
      <c r="E28"/>
    </row>
    <row r="29" spans="2:5">
      <c r="B29" t="s">
        <v>290</v>
      </c>
      <c r="C29" t="s">
        <v>291</v>
      </c>
    </row>
    <row r="30" spans="2:5">
      <c r="B30" t="s">
        <v>292</v>
      </c>
      <c r="C30" t="s">
        <v>293</v>
      </c>
    </row>
    <row r="31" spans="2:5">
      <c r="B31" t="s">
        <v>294</v>
      </c>
      <c r="C31" t="s">
        <v>295</v>
      </c>
    </row>
    <row r="32" spans="2:5">
      <c r="B32" t="s">
        <v>296</v>
      </c>
      <c r="C32" t="s">
        <v>297</v>
      </c>
    </row>
    <row r="33" spans="2:4">
      <c r="B33" t="s">
        <v>298</v>
      </c>
      <c r="C33" t="s">
        <v>299</v>
      </c>
    </row>
    <row r="34" spans="2:4">
      <c r="B34" t="s">
        <v>300</v>
      </c>
      <c r="C34" t="s">
        <v>301</v>
      </c>
    </row>
    <row r="35" spans="2:4">
      <c r="B35" t="s">
        <v>302</v>
      </c>
      <c r="C35" t="s">
        <v>303</v>
      </c>
    </row>
    <row r="36" spans="2:4">
      <c r="B36" t="s">
        <v>304</v>
      </c>
      <c r="C36" t="s">
        <v>305</v>
      </c>
    </row>
    <row r="37" spans="2:4">
      <c r="B37" t="s">
        <v>306</v>
      </c>
      <c r="C37" t="s">
        <v>307</v>
      </c>
    </row>
    <row r="38" spans="2:4">
      <c r="B38" t="s">
        <v>37</v>
      </c>
      <c r="C38" t="s">
        <v>171</v>
      </c>
      <c r="D38" t="s">
        <v>171</v>
      </c>
    </row>
    <row r="39" spans="2:4">
      <c r="B39" t="s">
        <v>38</v>
      </c>
      <c r="C39" t="s">
        <v>172</v>
      </c>
      <c r="D39" t="s">
        <v>172</v>
      </c>
    </row>
    <row r="40" spans="2:4">
      <c r="B40" t="s">
        <v>39</v>
      </c>
      <c r="C40" t="s">
        <v>50</v>
      </c>
      <c r="D40" t="s">
        <v>150</v>
      </c>
    </row>
    <row r="41" spans="2:4">
      <c r="B41" t="s">
        <v>40</v>
      </c>
      <c r="C41" t="s">
        <v>119</v>
      </c>
      <c r="D41" t="s">
        <v>119</v>
      </c>
    </row>
    <row r="42" spans="2:4">
      <c r="B42" t="s">
        <v>41</v>
      </c>
      <c r="C42" t="s">
        <v>120</v>
      </c>
      <c r="D42" t="s">
        <v>120</v>
      </c>
    </row>
    <row r="43" spans="2:4">
      <c r="B43" t="s">
        <v>42</v>
      </c>
      <c r="C43" t="s">
        <v>151</v>
      </c>
      <c r="D43" t="s">
        <v>121</v>
      </c>
    </row>
    <row r="44" spans="2:4">
      <c r="B44" t="s">
        <v>43</v>
      </c>
      <c r="C44" t="s">
        <v>122</v>
      </c>
      <c r="D44" t="s">
        <v>122</v>
      </c>
    </row>
    <row r="45" spans="2:4">
      <c r="B45" t="s">
        <v>44</v>
      </c>
      <c r="C45" t="s">
        <v>152</v>
      </c>
      <c r="D45" t="s">
        <v>153</v>
      </c>
    </row>
    <row r="46" spans="2:4">
      <c r="B46" t="s">
        <v>45</v>
      </c>
      <c r="C46" t="s">
        <v>154</v>
      </c>
      <c r="D46" t="s">
        <v>52</v>
      </c>
    </row>
    <row r="47" spans="2:4">
      <c r="B47" t="s">
        <v>46</v>
      </c>
      <c r="C47" t="s">
        <v>123</v>
      </c>
      <c r="D47" t="s">
        <v>155</v>
      </c>
    </row>
    <row r="48" spans="2:4">
      <c r="B48" t="s">
        <v>134</v>
      </c>
      <c r="C48" t="s">
        <v>156</v>
      </c>
      <c r="D48" t="s">
        <v>157</v>
      </c>
    </row>
    <row r="49" spans="2:4">
      <c r="B49" t="s">
        <v>135</v>
      </c>
      <c r="C49" t="s">
        <v>158</v>
      </c>
      <c r="D49" t="s">
        <v>158</v>
      </c>
    </row>
    <row r="50" spans="2:4">
      <c r="B50" t="s">
        <v>136</v>
      </c>
      <c r="C50" t="s">
        <v>159</v>
      </c>
      <c r="D50" t="s">
        <v>160</v>
      </c>
    </row>
    <row r="51" spans="2:4">
      <c r="B51" t="s">
        <v>137</v>
      </c>
      <c r="C51" t="s">
        <v>161</v>
      </c>
      <c r="D51" t="s">
        <v>161</v>
      </c>
    </row>
    <row r="52" spans="2:4">
      <c r="B52" t="s">
        <v>138</v>
      </c>
      <c r="C52" t="s">
        <v>162</v>
      </c>
      <c r="D52" t="s">
        <v>308</v>
      </c>
    </row>
    <row r="53" spans="2:4">
      <c r="B53" t="s">
        <v>139</v>
      </c>
      <c r="C53" t="s">
        <v>309</v>
      </c>
      <c r="D53" t="s">
        <v>309</v>
      </c>
    </row>
    <row r="54" spans="2:4">
      <c r="B54" t="s">
        <v>140</v>
      </c>
      <c r="C54" t="s">
        <v>310</v>
      </c>
      <c r="D54" t="s">
        <v>311</v>
      </c>
    </row>
    <row r="55" spans="2:4">
      <c r="B55" t="s">
        <v>141</v>
      </c>
      <c r="C55" t="s">
        <v>312</v>
      </c>
      <c r="D55" t="s">
        <v>313</v>
      </c>
    </row>
    <row r="56" spans="2:4">
      <c r="B56" t="s">
        <v>142</v>
      </c>
      <c r="C56" t="s">
        <v>314</v>
      </c>
      <c r="D56" t="s">
        <v>314</v>
      </c>
    </row>
    <row r="57" spans="2:4">
      <c r="B57" t="s">
        <v>143</v>
      </c>
      <c r="C57" t="s">
        <v>315</v>
      </c>
      <c r="D57" t="s">
        <v>315</v>
      </c>
    </row>
    <row r="58" spans="2:4">
      <c r="B58" t="s">
        <v>148</v>
      </c>
      <c r="C58" t="s">
        <v>200</v>
      </c>
    </row>
    <row r="59" spans="2:4">
      <c r="B59" t="s">
        <v>163</v>
      </c>
      <c r="C59" t="s">
        <v>201</v>
      </c>
    </row>
    <row r="60" spans="2:4">
      <c r="B60" t="s">
        <v>168</v>
      </c>
      <c r="C60" t="s">
        <v>202</v>
      </c>
    </row>
    <row r="61" spans="2:4">
      <c r="B61" t="s">
        <v>169</v>
      </c>
      <c r="C61" t="s">
        <v>203</v>
      </c>
    </row>
    <row r="62" spans="2:4">
      <c r="B62" t="s">
        <v>144</v>
      </c>
      <c r="C62" t="s">
        <v>204</v>
      </c>
    </row>
  </sheetData>
  <sheetProtection algorithmName="SHA-512" hashValue="LKAQ02/CW0Auj7Yo0FK4cfWi9CvbxRv7NLOHO2i864LHmBj+xqdWwww7/WGyGmIx78UXCJX3j40xfzGdwwd3pg==" saltValue="0uDfPuchkgGyjJDu9F1BTQ==" spinCount="100000" sheet="1" objects="1" scenarios="1" formatCells="0"/>
  <phoneticPr fontId="5"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87"/>
  <sheetViews>
    <sheetView workbookViewId="0">
      <selection sqref="A1:C1"/>
    </sheetView>
  </sheetViews>
  <sheetFormatPr defaultColWidth="9.26953125" defaultRowHeight="14.5"/>
  <cols>
    <col min="1" max="1" width="13.26953125" style="94" customWidth="1"/>
    <col min="2" max="2" width="18.7265625" customWidth="1"/>
    <col min="3" max="3" width="18.26953125" customWidth="1"/>
    <col min="4" max="16384" width="9.26953125" style="92"/>
  </cols>
  <sheetData>
    <row r="1" spans="1:3">
      <c r="A1" s="94" t="s">
        <v>323</v>
      </c>
      <c r="B1" t="s">
        <v>324</v>
      </c>
      <c r="C1" t="s">
        <v>325</v>
      </c>
    </row>
    <row r="2" spans="1:3">
      <c r="A2" s="94">
        <v>25076044</v>
      </c>
      <c r="B2" t="s">
        <v>326</v>
      </c>
      <c r="C2" t="s">
        <v>328</v>
      </c>
    </row>
    <row r="3" spans="1:3">
      <c r="A3" s="94">
        <v>25076044</v>
      </c>
      <c r="B3" t="s">
        <v>327</v>
      </c>
      <c r="C3">
        <v>2014</v>
      </c>
    </row>
    <row r="4" spans="1:3">
      <c r="A4" s="94">
        <v>25076044</v>
      </c>
      <c r="B4" t="s">
        <v>11</v>
      </c>
      <c r="C4" t="s">
        <v>0</v>
      </c>
    </row>
    <row r="5" spans="1:3">
      <c r="A5" s="94">
        <v>25076044</v>
      </c>
      <c r="B5" t="s">
        <v>12</v>
      </c>
      <c r="C5" t="s">
        <v>0</v>
      </c>
    </row>
    <row r="6" spans="1:3">
      <c r="A6" s="94">
        <v>25076044</v>
      </c>
      <c r="B6" t="s">
        <v>13</v>
      </c>
      <c r="C6" t="s">
        <v>0</v>
      </c>
    </row>
    <row r="7" spans="1:3">
      <c r="A7" s="94">
        <v>25076044</v>
      </c>
      <c r="B7" t="s">
        <v>14</v>
      </c>
      <c r="C7" t="s">
        <v>0</v>
      </c>
    </row>
    <row r="8" spans="1:3">
      <c r="A8" s="94">
        <v>25076044</v>
      </c>
      <c r="B8" t="s">
        <v>15</v>
      </c>
      <c r="C8" t="s">
        <v>0</v>
      </c>
    </row>
    <row r="9" spans="1:3">
      <c r="A9" s="94">
        <v>25076044</v>
      </c>
      <c r="B9" t="s">
        <v>16</v>
      </c>
      <c r="C9" t="s">
        <v>0</v>
      </c>
    </row>
    <row r="10" spans="1:3">
      <c r="A10" s="94">
        <v>25076044</v>
      </c>
      <c r="B10" t="s">
        <v>17</v>
      </c>
      <c r="C10" t="s">
        <v>0</v>
      </c>
    </row>
    <row r="11" spans="1:3">
      <c r="A11" s="94">
        <v>25076044</v>
      </c>
      <c r="B11" t="s">
        <v>18</v>
      </c>
      <c r="C11" t="s">
        <v>0</v>
      </c>
    </row>
    <row r="12" spans="1:3">
      <c r="A12" s="94">
        <v>25076044</v>
      </c>
      <c r="B12" t="s">
        <v>19</v>
      </c>
      <c r="C12" t="s">
        <v>0</v>
      </c>
    </row>
    <row r="13" spans="1:3">
      <c r="A13" s="94">
        <v>25076044</v>
      </c>
      <c r="B13" t="s">
        <v>20</v>
      </c>
      <c r="C13" t="s">
        <v>0</v>
      </c>
    </row>
    <row r="14" spans="1:3">
      <c r="A14" s="94">
        <v>25076044</v>
      </c>
      <c r="B14" t="s">
        <v>21</v>
      </c>
      <c r="C14" t="s">
        <v>0</v>
      </c>
    </row>
    <row r="15" spans="1:3">
      <c r="A15" s="94">
        <v>25076044</v>
      </c>
      <c r="B15" t="s">
        <v>22</v>
      </c>
      <c r="C15" t="s">
        <v>0</v>
      </c>
    </row>
    <row r="16" spans="1:3">
      <c r="A16" s="94">
        <v>25076044</v>
      </c>
      <c r="B16" t="s">
        <v>23</v>
      </c>
      <c r="C16" t="s">
        <v>0</v>
      </c>
    </row>
    <row r="17" spans="1:3">
      <c r="A17" s="94">
        <v>25076044</v>
      </c>
      <c r="B17" t="s">
        <v>24</v>
      </c>
      <c r="C17" t="s">
        <v>0</v>
      </c>
    </row>
    <row r="18" spans="1:3">
      <c r="A18" s="94">
        <v>25076044</v>
      </c>
      <c r="B18" t="s">
        <v>25</v>
      </c>
      <c r="C18" t="s">
        <v>0</v>
      </c>
    </row>
    <row r="19" spans="1:3">
      <c r="A19" s="94">
        <v>25076044</v>
      </c>
      <c r="B19" t="s">
        <v>26</v>
      </c>
      <c r="C19" t="s">
        <v>0</v>
      </c>
    </row>
    <row r="20" spans="1:3">
      <c r="A20" s="94">
        <v>25076044</v>
      </c>
      <c r="B20" t="s">
        <v>27</v>
      </c>
      <c r="C20" t="s">
        <v>0</v>
      </c>
    </row>
    <row r="21" spans="1:3">
      <c r="A21" s="94">
        <v>25076044</v>
      </c>
      <c r="B21" t="s">
        <v>28</v>
      </c>
      <c r="C21" t="s">
        <v>0</v>
      </c>
    </row>
    <row r="22" spans="1:3">
      <c r="A22" s="94">
        <v>25076044</v>
      </c>
      <c r="B22" t="s">
        <v>29</v>
      </c>
      <c r="C22" t="s">
        <v>0</v>
      </c>
    </row>
    <row r="23" spans="1:3">
      <c r="A23" s="94">
        <v>25076044</v>
      </c>
      <c r="B23" t="s">
        <v>149</v>
      </c>
      <c r="C23" t="s">
        <v>0</v>
      </c>
    </row>
    <row r="24" spans="1:3">
      <c r="A24" s="94">
        <v>25076044</v>
      </c>
      <c r="B24" t="s">
        <v>30</v>
      </c>
      <c r="C24" t="s">
        <v>0</v>
      </c>
    </row>
    <row r="25" spans="1:3">
      <c r="A25" s="94">
        <v>25076044</v>
      </c>
      <c r="B25" t="s">
        <v>31</v>
      </c>
      <c r="C25" t="s">
        <v>0</v>
      </c>
    </row>
    <row r="26" spans="1:3">
      <c r="A26" s="94">
        <v>25076044</v>
      </c>
      <c r="B26" t="s">
        <v>32</v>
      </c>
      <c r="C26" t="s">
        <v>0</v>
      </c>
    </row>
    <row r="27" spans="1:3">
      <c r="A27" s="94">
        <v>25076044</v>
      </c>
      <c r="B27" t="s">
        <v>33</v>
      </c>
      <c r="C27" t="s">
        <v>0</v>
      </c>
    </row>
    <row r="28" spans="1:3">
      <c r="A28" s="94">
        <v>25076044</v>
      </c>
      <c r="B28" t="s">
        <v>34</v>
      </c>
      <c r="C28" t="s">
        <v>0</v>
      </c>
    </row>
    <row r="29" spans="1:3">
      <c r="A29" s="94">
        <v>25076044</v>
      </c>
      <c r="B29" t="s">
        <v>35</v>
      </c>
      <c r="C29" t="s">
        <v>0</v>
      </c>
    </row>
    <row r="30" spans="1:3">
      <c r="A30" s="94">
        <v>25076044</v>
      </c>
      <c r="B30" t="s">
        <v>36</v>
      </c>
      <c r="C30" t="s">
        <v>0</v>
      </c>
    </row>
    <row r="31" spans="1:3">
      <c r="A31" s="94">
        <v>25076044</v>
      </c>
      <c r="B31" t="s">
        <v>290</v>
      </c>
      <c r="C31" s="113" t="s">
        <v>0</v>
      </c>
    </row>
    <row r="32" spans="1:3">
      <c r="A32" s="94">
        <v>25076044</v>
      </c>
      <c r="B32" t="s">
        <v>292</v>
      </c>
      <c r="C32" s="113" t="s">
        <v>0</v>
      </c>
    </row>
    <row r="33" spans="1:3">
      <c r="A33" s="94">
        <v>25076044</v>
      </c>
      <c r="B33" t="s">
        <v>294</v>
      </c>
      <c r="C33" s="113" t="s">
        <v>0</v>
      </c>
    </row>
    <row r="34" spans="1:3">
      <c r="A34" s="94">
        <v>25076044</v>
      </c>
      <c r="B34" t="s">
        <v>296</v>
      </c>
      <c r="C34" s="113" t="s">
        <v>0</v>
      </c>
    </row>
    <row r="35" spans="1:3">
      <c r="A35" s="94">
        <v>25076044</v>
      </c>
      <c r="B35" t="s">
        <v>298</v>
      </c>
      <c r="C35" s="113" t="s">
        <v>0</v>
      </c>
    </row>
    <row r="36" spans="1:3">
      <c r="A36" s="94">
        <v>25076044</v>
      </c>
      <c r="B36" t="s">
        <v>300</v>
      </c>
      <c r="C36" s="113" t="s">
        <v>0</v>
      </c>
    </row>
    <row r="37" spans="1:3">
      <c r="A37" s="94">
        <v>25076044</v>
      </c>
      <c r="B37" t="s">
        <v>302</v>
      </c>
      <c r="C37" t="s">
        <v>0</v>
      </c>
    </row>
    <row r="38" spans="1:3">
      <c r="A38" s="94">
        <v>25076044</v>
      </c>
      <c r="B38" t="s">
        <v>304</v>
      </c>
      <c r="C38" t="s">
        <v>0</v>
      </c>
    </row>
    <row r="39" spans="1:3">
      <c r="A39" s="94">
        <v>25076044</v>
      </c>
      <c r="B39" t="s">
        <v>306</v>
      </c>
      <c r="C39" t="s">
        <v>0</v>
      </c>
    </row>
    <row r="40" spans="1:3">
      <c r="A40" s="94">
        <v>25076044</v>
      </c>
      <c r="B40" t="s">
        <v>148</v>
      </c>
      <c r="C40" s="113">
        <v>1</v>
      </c>
    </row>
    <row r="41" spans="1:3">
      <c r="A41" s="94">
        <v>25076044</v>
      </c>
      <c r="B41" t="s">
        <v>163</v>
      </c>
      <c r="C41" s="113">
        <v>1</v>
      </c>
    </row>
    <row r="42" spans="1:3">
      <c r="A42" s="94">
        <v>25076044</v>
      </c>
      <c r="B42" t="s">
        <v>168</v>
      </c>
      <c r="C42" s="113">
        <v>1</v>
      </c>
    </row>
    <row r="43" spans="1:3">
      <c r="A43" s="94">
        <v>25076044</v>
      </c>
      <c r="B43" t="s">
        <v>169</v>
      </c>
      <c r="C43" s="113">
        <v>1</v>
      </c>
    </row>
    <row r="44" spans="1:3">
      <c r="A44" s="94">
        <v>25076044</v>
      </c>
      <c r="B44" t="s">
        <v>144</v>
      </c>
      <c r="C44" s="113">
        <v>1</v>
      </c>
    </row>
    <row r="45" spans="1:3">
      <c r="A45" s="94">
        <v>25989337</v>
      </c>
      <c r="B45" t="s">
        <v>326</v>
      </c>
      <c r="C45" t="s">
        <v>329</v>
      </c>
    </row>
    <row r="46" spans="1:3">
      <c r="A46" s="94">
        <v>25989337</v>
      </c>
      <c r="B46" t="s">
        <v>327</v>
      </c>
      <c r="C46">
        <v>2015</v>
      </c>
    </row>
    <row r="47" spans="1:3">
      <c r="A47" s="94">
        <v>25989337</v>
      </c>
      <c r="B47" t="s">
        <v>11</v>
      </c>
      <c r="C47" t="s">
        <v>0</v>
      </c>
    </row>
    <row r="48" spans="1:3">
      <c r="A48" s="94">
        <v>25989337</v>
      </c>
      <c r="B48" t="s">
        <v>12</v>
      </c>
      <c r="C48" t="s">
        <v>0</v>
      </c>
    </row>
    <row r="49" spans="1:3">
      <c r="A49" s="94">
        <v>25989337</v>
      </c>
      <c r="B49" t="s">
        <v>13</v>
      </c>
      <c r="C49" t="s">
        <v>0</v>
      </c>
    </row>
    <row r="50" spans="1:3">
      <c r="A50" s="94">
        <v>25989337</v>
      </c>
      <c r="B50" t="s">
        <v>14</v>
      </c>
      <c r="C50" t="s">
        <v>0</v>
      </c>
    </row>
    <row r="51" spans="1:3">
      <c r="A51" s="94">
        <v>25989337</v>
      </c>
      <c r="B51" t="s">
        <v>15</v>
      </c>
      <c r="C51" t="s">
        <v>0</v>
      </c>
    </row>
    <row r="52" spans="1:3">
      <c r="A52" s="94">
        <v>25989337</v>
      </c>
      <c r="B52" t="s">
        <v>16</v>
      </c>
      <c r="C52" t="s">
        <v>0</v>
      </c>
    </row>
    <row r="53" spans="1:3">
      <c r="A53" s="94">
        <v>25989337</v>
      </c>
      <c r="B53" t="s">
        <v>17</v>
      </c>
      <c r="C53" t="s">
        <v>0</v>
      </c>
    </row>
    <row r="54" spans="1:3">
      <c r="A54" s="94">
        <v>25989337</v>
      </c>
      <c r="B54" t="s">
        <v>18</v>
      </c>
      <c r="C54" t="s">
        <v>0</v>
      </c>
    </row>
    <row r="55" spans="1:3">
      <c r="A55" s="94">
        <v>25989337</v>
      </c>
      <c r="B55" t="s">
        <v>19</v>
      </c>
      <c r="C55" t="s">
        <v>0</v>
      </c>
    </row>
    <row r="56" spans="1:3">
      <c r="A56" s="94">
        <v>25989337</v>
      </c>
      <c r="B56" t="s">
        <v>20</v>
      </c>
      <c r="C56" t="s">
        <v>0</v>
      </c>
    </row>
    <row r="57" spans="1:3">
      <c r="A57" s="94">
        <v>25989337</v>
      </c>
      <c r="B57" t="s">
        <v>21</v>
      </c>
      <c r="C57" t="s">
        <v>0</v>
      </c>
    </row>
    <row r="58" spans="1:3">
      <c r="A58" s="94">
        <v>25989337</v>
      </c>
      <c r="B58" t="s">
        <v>22</v>
      </c>
      <c r="C58" t="s">
        <v>0</v>
      </c>
    </row>
    <row r="59" spans="1:3">
      <c r="A59" s="94">
        <v>25989337</v>
      </c>
      <c r="B59" t="s">
        <v>23</v>
      </c>
      <c r="C59" t="s">
        <v>0</v>
      </c>
    </row>
    <row r="60" spans="1:3">
      <c r="A60" s="94">
        <v>25989337</v>
      </c>
      <c r="B60" t="s">
        <v>24</v>
      </c>
      <c r="C60" t="s">
        <v>0</v>
      </c>
    </row>
    <row r="61" spans="1:3">
      <c r="A61" s="94">
        <v>25989337</v>
      </c>
      <c r="B61" t="s">
        <v>25</v>
      </c>
      <c r="C61" t="s">
        <v>0</v>
      </c>
    </row>
    <row r="62" spans="1:3">
      <c r="A62" s="94">
        <v>25989337</v>
      </c>
      <c r="B62" t="s">
        <v>26</v>
      </c>
      <c r="C62" t="s">
        <v>0</v>
      </c>
    </row>
    <row r="63" spans="1:3">
      <c r="A63" s="94">
        <v>25989337</v>
      </c>
      <c r="B63" t="s">
        <v>27</v>
      </c>
      <c r="C63" t="s">
        <v>0</v>
      </c>
    </row>
    <row r="64" spans="1:3">
      <c r="A64" s="94">
        <v>25989337</v>
      </c>
      <c r="B64" t="s">
        <v>28</v>
      </c>
      <c r="C64" t="s">
        <v>0</v>
      </c>
    </row>
    <row r="65" spans="1:3">
      <c r="A65" s="94">
        <v>25989337</v>
      </c>
      <c r="B65" t="s">
        <v>29</v>
      </c>
      <c r="C65" t="s">
        <v>0</v>
      </c>
    </row>
    <row r="66" spans="1:3">
      <c r="A66" s="94">
        <v>25989337</v>
      </c>
      <c r="B66" t="s">
        <v>149</v>
      </c>
      <c r="C66" s="113" t="s">
        <v>0</v>
      </c>
    </row>
    <row r="67" spans="1:3">
      <c r="A67" s="94">
        <v>25989337</v>
      </c>
      <c r="B67" t="s">
        <v>30</v>
      </c>
      <c r="C67" s="113" t="s">
        <v>0</v>
      </c>
    </row>
    <row r="68" spans="1:3">
      <c r="A68" s="94">
        <v>25989337</v>
      </c>
      <c r="B68" t="s">
        <v>31</v>
      </c>
      <c r="C68" s="113" t="s">
        <v>0</v>
      </c>
    </row>
    <row r="69" spans="1:3">
      <c r="A69" s="94">
        <v>25989337</v>
      </c>
      <c r="B69" t="s">
        <v>32</v>
      </c>
      <c r="C69" s="113" t="s">
        <v>0</v>
      </c>
    </row>
    <row r="70" spans="1:3">
      <c r="A70" s="94">
        <v>25989337</v>
      </c>
      <c r="B70" t="s">
        <v>33</v>
      </c>
      <c r="C70" s="113" t="s">
        <v>0</v>
      </c>
    </row>
    <row r="71" spans="1:3">
      <c r="A71" s="94">
        <v>25989337</v>
      </c>
      <c r="B71" t="s">
        <v>34</v>
      </c>
      <c r="C71" t="s">
        <v>0</v>
      </c>
    </row>
    <row r="72" spans="1:3">
      <c r="A72" s="94">
        <v>25989337</v>
      </c>
      <c r="B72" t="s">
        <v>35</v>
      </c>
      <c r="C72" t="s">
        <v>0</v>
      </c>
    </row>
    <row r="73" spans="1:3">
      <c r="A73" s="94">
        <v>25989337</v>
      </c>
      <c r="B73" t="s">
        <v>36</v>
      </c>
      <c r="C73" t="s">
        <v>0</v>
      </c>
    </row>
    <row r="74" spans="1:3">
      <c r="A74" s="94">
        <v>25989337</v>
      </c>
      <c r="B74" t="s">
        <v>290</v>
      </c>
      <c r="C74" t="s">
        <v>0</v>
      </c>
    </row>
    <row r="75" spans="1:3">
      <c r="A75" s="94">
        <v>25989337</v>
      </c>
      <c r="B75" t="s">
        <v>292</v>
      </c>
      <c r="C75" t="s">
        <v>0</v>
      </c>
    </row>
    <row r="76" spans="1:3">
      <c r="A76" s="94">
        <v>25989337</v>
      </c>
      <c r="B76" t="s">
        <v>294</v>
      </c>
      <c r="C76" t="s">
        <v>0</v>
      </c>
    </row>
    <row r="77" spans="1:3">
      <c r="A77" s="94">
        <v>25989337</v>
      </c>
      <c r="B77" t="s">
        <v>296</v>
      </c>
      <c r="C77" t="s">
        <v>0</v>
      </c>
    </row>
    <row r="78" spans="1:3">
      <c r="A78" s="94">
        <v>25989337</v>
      </c>
      <c r="B78" t="s">
        <v>298</v>
      </c>
      <c r="C78" t="s">
        <v>0</v>
      </c>
    </row>
    <row r="79" spans="1:3">
      <c r="A79" s="94">
        <v>25989337</v>
      </c>
      <c r="B79" t="s">
        <v>300</v>
      </c>
      <c r="C79" t="s">
        <v>0</v>
      </c>
    </row>
    <row r="80" spans="1:3">
      <c r="A80" s="94">
        <v>25989337</v>
      </c>
      <c r="B80" t="s">
        <v>302</v>
      </c>
      <c r="C80" t="s">
        <v>0</v>
      </c>
    </row>
    <row r="81" spans="1:3">
      <c r="A81" s="94">
        <v>25989337</v>
      </c>
      <c r="B81" t="s">
        <v>304</v>
      </c>
      <c r="C81" t="s">
        <v>0</v>
      </c>
    </row>
    <row r="82" spans="1:3">
      <c r="A82" s="94">
        <v>25989337</v>
      </c>
      <c r="B82" t="s">
        <v>306</v>
      </c>
      <c r="C82" t="s">
        <v>0</v>
      </c>
    </row>
    <row r="83" spans="1:3">
      <c r="A83" s="94">
        <v>25989337</v>
      </c>
      <c r="B83" t="s">
        <v>148</v>
      </c>
      <c r="C83" s="113">
        <v>1</v>
      </c>
    </row>
    <row r="84" spans="1:3">
      <c r="A84" s="94">
        <v>25989337</v>
      </c>
      <c r="B84" t="s">
        <v>163</v>
      </c>
      <c r="C84" s="113">
        <v>1</v>
      </c>
    </row>
    <row r="85" spans="1:3">
      <c r="A85" s="94">
        <v>25989337</v>
      </c>
      <c r="B85" t="s">
        <v>168</v>
      </c>
      <c r="C85" s="113">
        <v>1</v>
      </c>
    </row>
    <row r="86" spans="1:3">
      <c r="A86" s="94">
        <v>25989337</v>
      </c>
      <c r="B86" t="s">
        <v>169</v>
      </c>
      <c r="C86" s="113">
        <v>1</v>
      </c>
    </row>
    <row r="87" spans="1:3">
      <c r="A87" s="94">
        <v>25989337</v>
      </c>
      <c r="B87" t="s">
        <v>144</v>
      </c>
      <c r="C87" s="113">
        <v>1</v>
      </c>
    </row>
  </sheetData>
  <sheetProtection algorithmName="SHA-512" hashValue="8TBp5Qe3GPj+UPv9GMOwndiHN9vMYlQVE4PGaF1fESBYXz5WkABXAmuYLf55jOWGF9+4yFdcLA4XAZleDl8Z4Q==" saltValue="knU+IvtoeE56sF+qr1ijCQ==" spinCount="100000" sheet="1" objects="1" scenarios="1" formatCells="0"/>
  <phoneticPr fontId="5"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election sqref="A1:G1"/>
    </sheetView>
  </sheetViews>
  <sheetFormatPr defaultColWidth="9.1796875" defaultRowHeight="14.5"/>
  <sheetData/>
  <sheetProtection algorithmName="SHA-512" hashValue="NhSOWXbQ6tJ1LEzvG6+EXO1XajKNc/dZyutZL3Scgaf+eaGv9+uGbWs04DN+wv/O56OnC+EF8GQCidEFOyFwjw==" saltValue="NxEmtK0Vx6L6iBbnNUTCqA==" spinCount="100000" sheet="1" objects="1" scenarios="1" formatCells="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42</vt:i4>
      </vt:variant>
    </vt:vector>
  </HeadingPairs>
  <TitlesOfParts>
    <vt:vector size="52" baseType="lpstr">
      <vt:lpstr>Checklist</vt:lpstr>
      <vt:lpstr>InputOptions</vt:lpstr>
      <vt:lpstr>MainMenu</vt:lpstr>
      <vt:lpstr>QtyScoreRule</vt:lpstr>
      <vt:lpstr>RuleStore</vt:lpstr>
      <vt:lpstr>RuleResultStore</vt:lpstr>
      <vt:lpstr>ResultMetadata</vt:lpstr>
      <vt:lpstr>RuleMetadata</vt:lpstr>
      <vt:lpstr>PaperReviewStore</vt:lpstr>
      <vt:lpstr>Sheet1</vt:lpstr>
      <vt:lpstr>item1</vt:lpstr>
      <vt:lpstr>item10</vt:lpstr>
      <vt:lpstr>item11</vt:lpstr>
      <vt:lpstr>item12</vt:lpstr>
      <vt:lpstr>item13</vt:lpstr>
      <vt:lpstr>item14</vt:lpstr>
      <vt:lpstr>item15</vt:lpstr>
      <vt:lpstr>item16</vt:lpstr>
      <vt:lpstr>item17</vt:lpstr>
      <vt:lpstr>item18</vt:lpstr>
      <vt:lpstr>item19</vt:lpstr>
      <vt:lpstr>item2</vt:lpstr>
      <vt:lpstr>item20</vt:lpstr>
      <vt:lpstr>item21</vt:lpstr>
      <vt:lpstr>item22</vt:lpstr>
      <vt:lpstr>item23</vt:lpstr>
      <vt:lpstr>item24</vt:lpstr>
      <vt:lpstr>item25</vt:lpstr>
      <vt:lpstr>item26</vt:lpstr>
      <vt:lpstr>item27</vt:lpstr>
      <vt:lpstr>item28</vt:lpstr>
      <vt:lpstr>item29</vt:lpstr>
      <vt:lpstr>item3</vt:lpstr>
      <vt:lpstr>item30</vt:lpstr>
      <vt:lpstr>item31</vt:lpstr>
      <vt:lpstr>item32</vt:lpstr>
      <vt:lpstr>item33</vt:lpstr>
      <vt:lpstr>item34</vt:lpstr>
      <vt:lpstr>item35</vt:lpstr>
      <vt:lpstr>item36</vt:lpstr>
      <vt:lpstr>item37</vt:lpstr>
      <vt:lpstr>item38</vt:lpstr>
      <vt:lpstr>item39</vt:lpstr>
      <vt:lpstr>item4</vt:lpstr>
      <vt:lpstr>item41</vt:lpstr>
      <vt:lpstr>item42</vt:lpstr>
      <vt:lpstr>item5</vt:lpstr>
      <vt:lpstr>item6</vt:lpstr>
      <vt:lpstr>item7</vt:lpstr>
      <vt:lpstr>item8</vt:lpstr>
      <vt:lpstr>item9</vt:lpstr>
      <vt:lpstr>listOfYear</vt:lpstr>
    </vt:vector>
  </TitlesOfParts>
  <Company>University of Manchester</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florezo</dc:creator>
  <cp:lastModifiedBy>florezo</cp:lastModifiedBy>
  <cp:lastPrinted>2014-10-02T14:48:31Z</cp:lastPrinted>
  <dcterms:created xsi:type="dcterms:W3CDTF">2014-03-25T11:04:11Z</dcterms:created>
  <dcterms:modified xsi:type="dcterms:W3CDTF">2015-11-17T18:21:08Z</dcterms:modified>
</cp:coreProperties>
</file>