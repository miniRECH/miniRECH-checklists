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ezo\Dropbox\miniRECH\GitHubRepository\miniRECH\myMiniRECH\"/>
    </mc:Choice>
  </mc:AlternateContent>
  <bookViews>
    <workbookView xWindow="5370" yWindow="-90" windowWidth="15600" windowHeight="9240" tabRatio="842"/>
  </bookViews>
  <sheets>
    <sheet name="Checklist" sheetId="3" r:id="rId1"/>
    <sheet name="InputOptions" sheetId="4" state="hidden" r:id="rId2"/>
    <sheet name="MainMenu" sheetId="12" state="hidden" r:id="rId3"/>
    <sheet name="QtyScoreRule" sheetId="13" state="hidden" r:id="rId4"/>
    <sheet name="RuleStore" sheetId="6" state="hidden" r:id="rId5"/>
    <sheet name="RuleResultStore" sheetId="8" state="hidden" r:id="rId6"/>
    <sheet name="ResultMetadata" sheetId="9" state="hidden" r:id="rId7"/>
    <sheet name="RuleMetadata" sheetId="7" state="hidden" r:id="rId8"/>
    <sheet name="PaperReviewStore" sheetId="10" state="hidden" r:id="rId9"/>
    <sheet name="Sheet1" sheetId="14" state="hidden" r:id="rId10"/>
  </sheets>
  <functionGroups builtInGroupCount="18"/>
  <definedNames>
    <definedName name="item1">InputOptions!$B$4:$B$6</definedName>
    <definedName name="item10">InputOptions!$K$4:$K$6</definedName>
    <definedName name="item11">InputOptions!$L$4:$L$6</definedName>
    <definedName name="item12">InputOptions!$M$4:$M$6</definedName>
    <definedName name="item13">InputOptions!$N$4:$N$6</definedName>
    <definedName name="item14">InputOptions!#REF!</definedName>
    <definedName name="item15">InputOptions!#REF!</definedName>
    <definedName name="item16">InputOptions!#REF!</definedName>
    <definedName name="item17">InputOptions!#REF!</definedName>
    <definedName name="item18">InputOptions!#REF!</definedName>
    <definedName name="item19">InputOptions!#REF!</definedName>
    <definedName name="item2">InputOptions!$C$4:$C$6</definedName>
    <definedName name="item20">InputOptions!#REF!</definedName>
    <definedName name="item201">InputOptions!#REF!</definedName>
    <definedName name="item202">InputOptions!#REF!</definedName>
    <definedName name="item203">InputOptions!#REF!</definedName>
    <definedName name="item204">InputOptions!#REF!</definedName>
    <definedName name="item205">InputOptions!#REF!</definedName>
    <definedName name="item206">InputOptions!#REF!</definedName>
    <definedName name="item21">InputOptions!#REF!</definedName>
    <definedName name="item22">InputOptions!#REF!</definedName>
    <definedName name="item23">InputOptions!#REF!</definedName>
    <definedName name="item24">InputOptions!#REF!</definedName>
    <definedName name="item25">InputOptions!#REF!</definedName>
    <definedName name="item26">InputOptions!#REF!</definedName>
    <definedName name="item27">InputOptions!#REF!</definedName>
    <definedName name="item28">InputOptions!#REF!</definedName>
    <definedName name="item29">InputOptions!#REF!</definedName>
    <definedName name="item3">InputOptions!$D$4:$D$6</definedName>
    <definedName name="item30">InputOptions!#REF!</definedName>
    <definedName name="item31">InputOptions!#REF!</definedName>
    <definedName name="item32">InputOptions!#REF!</definedName>
    <definedName name="item33">InputOptions!#REF!</definedName>
    <definedName name="item34">InputOptions!#REF!</definedName>
    <definedName name="item35">InputOptions!#REF!</definedName>
    <definedName name="item36">InputOptions!#REF!</definedName>
    <definedName name="item37">InputOptions!#REF!</definedName>
    <definedName name="item38">InputOptions!#REF!</definedName>
    <definedName name="item39">InputOptions!#REF!</definedName>
    <definedName name="item4">InputOptions!$E$4:$E$6</definedName>
    <definedName name="item40">InputOptions!#REF!</definedName>
    <definedName name="item41">InputOptions!#REF!</definedName>
    <definedName name="item42">InputOptions!#REF!</definedName>
    <definedName name="item5">InputOptions!$F$4:$F$6</definedName>
    <definedName name="item6">InputOptions!$G$4:$G$6</definedName>
    <definedName name="item7">InputOptions!$H$4:$H$6</definedName>
    <definedName name="item8">InputOptions!$I$4:$I$6</definedName>
    <definedName name="item9">InputOptions!$J$4:$J$6</definedName>
    <definedName name="listOfDisease">InputOptions!#REF!</definedName>
    <definedName name="listOfModel">InputOptions!#REF!</definedName>
    <definedName name="listOfParasite">InputOptions!#REF!</definedName>
    <definedName name="listOfYear">InputOptions!$A$4:$A$59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3" l="1"/>
  <c r="F24" i="13"/>
  <c r="F23" i="13"/>
  <c r="F22" i="13"/>
  <c r="F21" i="13"/>
  <c r="F20" i="13"/>
  <c r="F19" i="13"/>
  <c r="E22" i="13"/>
  <c r="F26" i="13"/>
  <c r="E26" i="13"/>
  <c r="J28" i="13"/>
  <c r="J24" i="13"/>
  <c r="J25" i="13"/>
  <c r="J29" i="13"/>
  <c r="J23" i="13"/>
  <c r="J22" i="13"/>
  <c r="J21" i="13"/>
  <c r="J20" i="13"/>
  <c r="J19" i="13"/>
  <c r="J18" i="13"/>
  <c r="J17" i="13"/>
  <c r="J26" i="13"/>
  <c r="J16" i="13"/>
  <c r="E23" i="13"/>
  <c r="E21" i="13"/>
  <c r="E20" i="13"/>
  <c r="E19" i="13"/>
  <c r="F18" i="13"/>
  <c r="E18" i="13"/>
  <c r="E17" i="13"/>
  <c r="E16" i="13"/>
  <c r="J27" i="13"/>
  <c r="J30" i="13"/>
  <c r="F30" i="13"/>
  <c r="E30" i="13"/>
  <c r="F29" i="13"/>
  <c r="F28" i="13"/>
  <c r="E29" i="13"/>
  <c r="F27" i="13"/>
  <c r="E28" i="13"/>
  <c r="E27" i="13"/>
  <c r="E24" i="13"/>
  <c r="E25" i="13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</calcChain>
</file>

<file path=xl/sharedStrings.xml><?xml version="1.0" encoding="utf-8"?>
<sst xmlns="http://schemas.openxmlformats.org/spreadsheetml/2006/main" count="658" uniqueCount="194">
  <si>
    <t>YES</t>
  </si>
  <si>
    <t>Item#</t>
  </si>
  <si>
    <t>Information not available</t>
  </si>
  <si>
    <t>Please input the information of the reviewed paper</t>
  </si>
  <si>
    <t>RuleID</t>
  </si>
  <si>
    <t>RuleExpression</t>
  </si>
  <si>
    <t>RuleAction</t>
  </si>
  <si>
    <t>InterFunction</t>
  </si>
  <si>
    <t>InterVariable</t>
  </si>
  <si>
    <t>InterVarAddress</t>
  </si>
  <si>
    <t>InterVarAddress2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</si>
  <si>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</si>
  <si>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</si>
  <si>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</si>
  <si>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</si>
  <si>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</si>
  <si>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</si>
  <si>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</si>
  <si>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</si>
  <si>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</si>
  <si>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</si>
  <si>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</si>
  <si>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</si>
  <si>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</si>
  <si>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</si>
  <si>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</si>
  <si>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</si>
  <si>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</si>
  <si>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</si>
  <si>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</si>
  <si>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</si>
  <si>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</si>
  <si>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</si>
  <si>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</si>
  <si>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UserFunction</t>
  </si>
  <si>
    <t>UserVariable</t>
  </si>
  <si>
    <t>Result</t>
  </si>
  <si>
    <t>$C$18</t>
  </si>
  <si>
    <t>Not applicable</t>
  </si>
  <si>
    <t>MUST</t>
  </si>
  <si>
    <t>Please fill the fields
the fields cannot be empty</t>
  </si>
  <si>
    <t>MustBeProvided And ValueIsYes or NotMustBeProvide AND (Not ValueIsNo)</t>
  </si>
  <si>
    <t>QualityOK(item2) |= MainRule</t>
  </si>
  <si>
    <t>QualityOK(item4) |= MainRule</t>
  </si>
  <si>
    <t>QualityOK(item5) |= MainRule</t>
  </si>
  <si>
    <t>QualityOK(item6) |= MainRule</t>
  </si>
  <si>
    <t>QualityOK(item7) |= MainRule</t>
  </si>
  <si>
    <t>QualityOK(item8) |= MainRule</t>
  </si>
  <si>
    <t>QualityOK(item9) |= MainRule</t>
  </si>
  <si>
    <t>QualityOK(item10) |= MainRule</t>
  </si>
  <si>
    <t>QualityOK(item11) |= MainRule</t>
  </si>
  <si>
    <t>QualityOK(item12) |= MainRule</t>
  </si>
  <si>
    <t>QualityOK(item13) |= MainRule</t>
  </si>
  <si>
    <t>Please answer the following questions according to
 the information reported in the experiment.</t>
  </si>
  <si>
    <t>Paper #</t>
  </si>
  <si>
    <t>Item groups</t>
  </si>
  <si>
    <t>Not (MustBeProvided and ValueIsInformationNotAvailable)</t>
  </si>
  <si>
    <t>Must</t>
  </si>
  <si>
    <t>Not demanded</t>
  </si>
  <si>
    <t>Weight (%)</t>
  </si>
  <si>
    <t>ScoreOfRank</t>
  </si>
  <si>
    <t>Rank of Importance</t>
  </si>
  <si>
    <t>Score of Mandatory</t>
  </si>
  <si>
    <t>Domain Mandatory Requirement</t>
  </si>
  <si>
    <t>Score of Rank</t>
  </si>
  <si>
    <t>Not Demanded</t>
  </si>
  <si>
    <t>ScoreOfItem</t>
  </si>
  <si>
    <t>ScoreTotal</t>
  </si>
  <si>
    <t>OtherInterVariable</t>
  </si>
  <si>
    <t>ItemID</t>
  </si>
  <si>
    <t>ItemDescription</t>
  </si>
  <si>
    <t>DomainMandatory</t>
  </si>
  <si>
    <t>RankOfImportance</t>
  </si>
  <si>
    <t>StartRow</t>
  </si>
  <si>
    <t>EndRow</t>
  </si>
  <si>
    <t>QtyFullScore</t>
  </si>
  <si>
    <t>QtyWeight</t>
  </si>
  <si>
    <t>QtyFinalScore</t>
  </si>
  <si>
    <t>item</t>
  </si>
  <si>
    <t>Prefix</t>
  </si>
  <si>
    <t>Color</t>
  </si>
  <si>
    <t>QtyScoreBand</t>
  </si>
  <si>
    <t>MinScore</t>
  </si>
  <si>
    <t>MaxScore</t>
  </si>
  <si>
    <t>Red</t>
  </si>
  <si>
    <t>Yellow</t>
  </si>
  <si>
    <t>Green</t>
  </si>
  <si>
    <t>Please provide author name</t>
  </si>
  <si>
    <t>Please provide year</t>
  </si>
  <si>
    <t>$C$20</t>
  </si>
  <si>
    <t>$C$21</t>
  </si>
  <si>
    <t>$C$25</t>
  </si>
  <si>
    <t>$C$26</t>
  </si>
  <si>
    <t>listOfYear</t>
  </si>
  <si>
    <t>ReportingInfo</t>
  </si>
  <si>
    <t>QualityOK(A)|=QualityOK(item1)</t>
  </si>
  <si>
    <t>QualityOK(B)|=QualityOK(item2)</t>
  </si>
  <si>
    <t>$C$19</t>
  </si>
  <si>
    <t>$C$27</t>
  </si>
  <si>
    <t>$C$28</t>
  </si>
  <si>
    <t>Paper Information</t>
  </si>
  <si>
    <t>$C$16</t>
  </si>
  <si>
    <t>$C$17</t>
  </si>
  <si>
    <t>QualityOK(C)|=QualityOK(item3) AND QualityOK(item4)</t>
  </si>
  <si>
    <t>QualityOK(D)|=QualityOK(item5)</t>
  </si>
  <si>
    <t>QUALITYOK</t>
  </si>
  <si>
    <t>ISNULL</t>
  </si>
  <si>
    <t>VALUE</t>
  </si>
  <si>
    <t>DOMAINVALUES</t>
  </si>
  <si>
    <t>NOTAPPLICABLE</t>
  </si>
  <si>
    <t>PMID</t>
  </si>
  <si>
    <t>REVIEWNAME</t>
  </si>
  <si>
    <t>REVIEWVALUE</t>
  </si>
  <si>
    <t>Quality of Criteria set 2</t>
  </si>
  <si>
    <t>Quality of Criteria set 1</t>
  </si>
  <si>
    <t>Quality of Criteria set 3</t>
  </si>
  <si>
    <t>Quality of Criteria set 4</t>
  </si>
  <si>
    <t>Quality of the Manuscript</t>
  </si>
  <si>
    <t>Please provide an ID, e.g., PMID</t>
  </si>
  <si>
    <t>Set 3</t>
  </si>
  <si>
    <t>Set 2</t>
  </si>
  <si>
    <t>Set 1</t>
  </si>
  <si>
    <t>Set 4</t>
  </si>
  <si>
    <t>Checklist for …</t>
  </si>
  <si>
    <t>11</t>
  </si>
  <si>
    <t>12</t>
  </si>
  <si>
    <t>13</t>
  </si>
  <si>
    <t>10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</si>
  <si>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</si>
  <si>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</si>
  <si>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</si>
  <si>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</si>
  <si>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</si>
  <si>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</si>
  <si>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</si>
  <si>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</si>
  <si>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</si>
  <si>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Set1Info</t>
  </si>
  <si>
    <t>Set2Info</t>
  </si>
  <si>
    <t>Set3Info</t>
  </si>
  <si>
    <t>Set4Info</t>
  </si>
  <si>
    <t>QualityOK(E)|=QualityOK(item6) AND QualityOK(item7) AND QualityOK(item8)</t>
  </si>
  <si>
    <t>QualityOK(F)|=QualityOK(item9)</t>
  </si>
  <si>
    <t>QualityOK(G)|=QualityOK(item10)</t>
  </si>
  <si>
    <t>QualityOK(H)|=QualityOK(item11)</t>
  </si>
  <si>
    <t>QualityOK(I)|=QualityOK(item12)</t>
  </si>
  <si>
    <t>QualityOK(J)|=QualityOK(item13)</t>
  </si>
  <si>
    <t xml:space="preserve">QualityOK(Set1Info) |= QualityOK(A) AND QualityOK(B) AND QualityOK(C) </t>
  </si>
  <si>
    <t>QualityOK(Set2Info) |= QualityOK(D) AND QualityOK(E) AND QualityOK(F)</t>
  </si>
  <si>
    <r>
      <t xml:space="preserve">QualityOK(Set4Info) |= </t>
    </r>
    <r>
      <rPr>
        <sz val="11"/>
        <rFont val="Calibri"/>
        <family val="2"/>
        <scheme val="minor"/>
      </rPr>
      <t>QualityOK(I) AND QualityOK(J)</t>
    </r>
  </si>
  <si>
    <t>QualityOK(ReportingInfo) |= QualityOK(Set1Info) AND QualityOK(Set2Info) AND QualityOK(Set3Info) AND QualityOK(Set4Info)</t>
  </si>
  <si>
    <t>Title A</t>
  </si>
  <si>
    <t>Title B</t>
  </si>
  <si>
    <t>Title C</t>
  </si>
  <si>
    <t>Title D</t>
  </si>
  <si>
    <t>Title E</t>
  </si>
  <si>
    <t>Title F</t>
  </si>
  <si>
    <t>Title G</t>
  </si>
  <si>
    <t>Title H</t>
  </si>
  <si>
    <t>Title I</t>
  </si>
  <si>
    <t>Title J</t>
  </si>
  <si>
    <t>Description</t>
  </si>
  <si>
    <t>$C$23</t>
  </si>
  <si>
    <t>$C$24</t>
  </si>
  <si>
    <t>QualityOK(Set3Info) |= QualityOK(G) AND QualityOK(H)</t>
  </si>
  <si>
    <t>QualityOK(item3) |= MainRule</t>
  </si>
  <si>
    <t>QualityOK(item1) |= MainRule</t>
  </si>
  <si>
    <t>Paper Review</t>
  </si>
  <si>
    <t>$G$16</t>
  </si>
  <si>
    <t>$G$17</t>
  </si>
  <si>
    <t>$G$18</t>
  </si>
  <si>
    <t>$G$19</t>
  </si>
  <si>
    <t>$G$20</t>
  </si>
  <si>
    <t>$G$21</t>
  </si>
  <si>
    <t>$G$22</t>
  </si>
  <si>
    <t>$G$23</t>
  </si>
  <si>
    <t>$G$24</t>
  </si>
  <si>
    <t>$G$25</t>
  </si>
  <si>
    <t>$G$26</t>
  </si>
  <si>
    <t>$G$27</t>
  </si>
  <si>
    <t>$G$28</t>
  </si>
  <si>
    <t>$G$4</t>
  </si>
  <si>
    <t>$G$5</t>
  </si>
  <si>
    <t>$G$6</t>
  </si>
  <si>
    <t>$G$7</t>
  </si>
  <si>
    <t>$G$8</t>
  </si>
  <si>
    <t>QualityOK</t>
  </si>
  <si>
    <t>AUTHOR</t>
  </si>
  <si>
    <t>PUBLICATIONYEAR</t>
  </si>
  <si>
    <t>You</t>
  </si>
  <si>
    <t>We</t>
  </si>
  <si>
    <t>They</t>
  </si>
  <si>
    <t>MyName</t>
  </si>
  <si>
    <t>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</si>
</sst>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8"/>
      <color theme="7" tint="0.3999755851924192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2" borderId="3" applyNumberFormat="0" applyFont="0" applyAlignment="0" applyProtection="0"/>
    <xf numFmtId="0" fontId="7" fillId="0" borderId="0"/>
  </cellStyleXfs>
  <cellXfs count="217">
    <xf numFmtId="0" fontId="0" fillId="0" borderId="0" xfId="0"/>
    <xf numFmtId="0" fontId="0" fillId="0" borderId="0" xfId="0" applyFont="1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7" borderId="0" xfId="0" applyFill="1"/>
    <xf numFmtId="0" fontId="1" fillId="4" borderId="0" xfId="0" applyFont="1" applyFill="1" applyAlignment="1" applyProtection="1">
      <alignment readingOrder="1"/>
      <protection locked="0"/>
    </xf>
    <xf numFmtId="0" fontId="1" fillId="4" borderId="0" xfId="0" applyFont="1" applyFill="1" applyAlignment="1" applyProtection="1">
      <alignment horizontal="center" readingOrder="1"/>
      <protection locked="0"/>
    </xf>
    <xf numFmtId="0" fontId="0" fillId="4" borderId="0" xfId="0" applyFill="1" applyAlignment="1" applyProtection="1">
      <alignment readingOrder="1"/>
      <protection locked="0"/>
    </xf>
    <xf numFmtId="0" fontId="0" fillId="0" borderId="0" xfId="0" applyAlignment="1" applyProtection="1">
      <alignment wrapText="1" readingOrder="1"/>
      <protection locked="0"/>
    </xf>
    <xf numFmtId="0" fontId="2" fillId="0" borderId="0" xfId="0" applyFont="1" applyAlignment="1" applyProtection="1">
      <alignment readingOrder="1"/>
      <protection locked="0"/>
    </xf>
    <xf numFmtId="0" fontId="0" fillId="4" borderId="0" xfId="0" applyFill="1" applyAlignment="1" applyProtection="1">
      <alignment wrapText="1" readingOrder="1"/>
      <protection locked="0"/>
    </xf>
    <xf numFmtId="0" fontId="2" fillId="0" borderId="0" xfId="0" applyFont="1" applyAlignment="1" applyProtection="1">
      <alignment wrapText="1" readingOrder="1"/>
      <protection locked="0"/>
    </xf>
    <xf numFmtId="0" fontId="0" fillId="0" borderId="0" xfId="0" applyAlignment="1" applyProtection="1">
      <alignment wrapText="1"/>
    </xf>
    <xf numFmtId="0" fontId="0" fillId="0" borderId="0" xfId="0" applyProtection="1"/>
    <xf numFmtId="0" fontId="3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0" fontId="4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" fillId="8" borderId="0" xfId="0" applyFont="1" applyFill="1" applyProtection="1"/>
    <xf numFmtId="0" fontId="1" fillId="8" borderId="0" xfId="0" applyFont="1" applyFill="1" applyAlignment="1" applyProtection="1">
      <alignment horizontal="left" wrapText="1"/>
    </xf>
    <xf numFmtId="0" fontId="0" fillId="8" borderId="0" xfId="0" applyFill="1" applyProtection="1"/>
    <xf numFmtId="0" fontId="16" fillId="0" borderId="0" xfId="0" applyFont="1" applyFill="1" applyAlignment="1" applyProtection="1">
      <alignment readingOrder="1"/>
      <protection locked="0"/>
    </xf>
    <xf numFmtId="0" fontId="12" fillId="0" borderId="11" xfId="0" applyFont="1" applyBorder="1" applyAlignment="1" applyProtection="1">
      <alignment wrapText="1" readingOrder="1"/>
    </xf>
    <xf numFmtId="0" fontId="12" fillId="0" borderId="12" xfId="0" applyFont="1" applyBorder="1" applyAlignment="1" applyProtection="1">
      <alignment wrapText="1" readingOrder="1"/>
    </xf>
    <xf numFmtId="0" fontId="12" fillId="0" borderId="13" xfId="0" applyFont="1" applyBorder="1" applyAlignment="1" applyProtection="1">
      <alignment wrapText="1" readingOrder="1"/>
    </xf>
    <xf numFmtId="0" fontId="6" fillId="4" borderId="0" xfId="0" applyFont="1" applyFill="1" applyBorder="1" applyAlignment="1" applyProtection="1">
      <alignment wrapText="1" readingOrder="1"/>
    </xf>
    <xf numFmtId="0" fontId="12" fillId="0" borderId="11" xfId="0" applyFont="1" applyFill="1" applyBorder="1" applyAlignment="1" applyProtection="1">
      <alignment wrapText="1" readingOrder="1"/>
    </xf>
    <xf numFmtId="0" fontId="10" fillId="9" borderId="8" xfId="0" applyFont="1" applyFill="1" applyBorder="1" applyAlignment="1" applyProtection="1">
      <alignment horizontal="center" vertical="center" readingOrder="1"/>
    </xf>
    <xf numFmtId="0" fontId="7" fillId="0" borderId="0" xfId="2"/>
    <xf numFmtId="0" fontId="13" fillId="0" borderId="11" xfId="0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Alignment="1" applyProtection="1">
      <alignment horizontal="center" vertical="center" wrapText="1"/>
    </xf>
    <xf numFmtId="0" fontId="0" fillId="5" borderId="4" xfId="0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horizontal="left" vertical="center" wrapText="1" readingOrder="1"/>
    </xf>
    <xf numFmtId="0" fontId="0" fillId="0" borderId="0" xfId="0" applyAlignment="1" applyProtection="1">
      <alignment readingOrder="1"/>
    </xf>
    <xf numFmtId="0" fontId="0" fillId="0" borderId="0" xfId="0" applyAlignment="1" applyProtection="1">
      <alignment wrapText="1" readingOrder="1"/>
    </xf>
    <xf numFmtId="0" fontId="9" fillId="0" borderId="0" xfId="0" applyFont="1" applyAlignment="1" applyProtection="1">
      <alignment horizontal="center" vertical="center" wrapText="1" readingOrder="1"/>
    </xf>
    <xf numFmtId="0" fontId="0" fillId="0" borderId="0" xfId="0" applyFont="1" applyAlignment="1" applyProtection="1">
      <alignment wrapText="1"/>
    </xf>
    <xf numFmtId="0" fontId="16" fillId="0" borderId="0" xfId="0" applyFont="1" applyAlignment="1" applyProtection="1">
      <alignment wrapText="1"/>
    </xf>
    <xf numFmtId="0" fontId="0" fillId="0" borderId="0" xfId="0" applyFont="1" applyFill="1" applyAlignment="1" applyProtection="1">
      <alignment wrapText="1"/>
    </xf>
    <xf numFmtId="0" fontId="10" fillId="9" borderId="8" xfId="0" applyFont="1" applyFill="1" applyBorder="1" applyAlignment="1" applyProtection="1">
      <alignment horizontal="center" vertical="center" wrapText="1" readingOrder="1"/>
    </xf>
    <xf numFmtId="0" fontId="1" fillId="0" borderId="0" xfId="0" applyFont="1" applyFill="1" applyBorder="1" applyAlignment="1" applyProtection="1">
      <alignment wrapText="1" readingOrder="1"/>
    </xf>
    <xf numFmtId="0" fontId="12" fillId="0" borderId="0" xfId="0" applyFont="1" applyFill="1" applyBorder="1" applyAlignment="1" applyProtection="1">
      <alignment horizontal="center" vertical="center" wrapText="1" readingOrder="1"/>
    </xf>
    <xf numFmtId="0" fontId="0" fillId="0" borderId="0" xfId="0" applyAlignment="1">
      <alignment horizontal="center"/>
    </xf>
    <xf numFmtId="0" fontId="18" fillId="12" borderId="10" xfId="0" applyFont="1" applyFill="1" applyBorder="1" applyAlignment="1" applyProtection="1">
      <alignment horizontal="center" vertical="center" readingOrder="1"/>
      <protection locked="0"/>
    </xf>
    <xf numFmtId="0" fontId="0" fillId="0" borderId="0" xfId="0" applyAlignment="1">
      <alignment horizontal="center" readingOrder="1"/>
    </xf>
    <xf numFmtId="0" fontId="19" fillId="0" borderId="4" xfId="0" applyFont="1" applyFill="1" applyBorder="1" applyAlignment="1">
      <alignment horizontal="center" vertical="center" wrapText="1"/>
    </xf>
    <xf numFmtId="2" fontId="22" fillId="0" borderId="0" xfId="0" applyNumberFormat="1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19" fillId="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5" fillId="0" borderId="0" xfId="0" applyFont="1" applyAlignment="1"/>
    <xf numFmtId="0" fontId="16" fillId="0" borderId="0" xfId="0" applyFont="1" applyAlignment="1">
      <alignment horizontal="left"/>
    </xf>
    <xf numFmtId="0" fontId="19" fillId="11" borderId="20" xfId="0" applyFont="1" applyFill="1" applyBorder="1" applyAlignment="1">
      <alignment horizontal="center" vertical="center" readingOrder="1"/>
    </xf>
    <xf numFmtId="0" fontId="19" fillId="9" borderId="20" xfId="0" applyFont="1" applyFill="1" applyBorder="1" applyAlignment="1">
      <alignment horizontal="center" vertical="center" wrapText="1" readingOrder="1"/>
    </xf>
    <xf numFmtId="0" fontId="19" fillId="10" borderId="2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readingOrder="1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16" borderId="8" xfId="0" applyFill="1" applyBorder="1"/>
    <xf numFmtId="0" fontId="0" fillId="16" borderId="8" xfId="0" applyFill="1" applyBorder="1" applyAlignment="1">
      <alignment horizontal="center"/>
    </xf>
    <xf numFmtId="0" fontId="0" fillId="16" borderId="22" xfId="0" applyFill="1" applyBorder="1" applyAlignment="1">
      <alignment horizontal="center"/>
    </xf>
    <xf numFmtId="0" fontId="0" fillId="16" borderId="0" xfId="0" applyFill="1" applyBorder="1"/>
    <xf numFmtId="0" fontId="0" fillId="16" borderId="24" xfId="0" applyFill="1" applyBorder="1" applyAlignment="1">
      <alignment horizontal="center"/>
    </xf>
    <xf numFmtId="0" fontId="0" fillId="7" borderId="0" xfId="0" applyFill="1" applyBorder="1"/>
    <xf numFmtId="0" fontId="0" fillId="16" borderId="21" xfId="0" applyFill="1" applyBorder="1" applyAlignment="1">
      <alignment horizontal="center" readingOrder="1"/>
    </xf>
    <xf numFmtId="0" fontId="0" fillId="16" borderId="23" xfId="0" applyFill="1" applyBorder="1" applyAlignment="1">
      <alignment horizontal="center" readingOrder="1"/>
    </xf>
    <xf numFmtId="0" fontId="12" fillId="0" borderId="0" xfId="0" applyFont="1" applyFill="1" applyBorder="1" applyAlignment="1" applyProtection="1">
      <alignment horizontal="center" vertical="center" wrapText="1" readingOrder="1"/>
      <protection locked="0"/>
    </xf>
    <xf numFmtId="0" fontId="14" fillId="0" borderId="21" xfId="0" applyFont="1" applyFill="1" applyBorder="1" applyAlignment="1" applyProtection="1">
      <alignment horizontal="center" vertical="center" readingOrder="1"/>
      <protection locked="0"/>
    </xf>
    <xf numFmtId="0" fontId="15" fillId="0" borderId="0" xfId="0" applyFont="1" applyAlignment="1">
      <alignment horizontal="center"/>
    </xf>
    <xf numFmtId="0" fontId="23" fillId="0" borderId="25" xfId="0" applyFont="1" applyFill="1" applyBorder="1" applyAlignment="1">
      <alignment horizontal="center" vertical="center" wrapText="1"/>
    </xf>
    <xf numFmtId="0" fontId="16" fillId="0" borderId="26" xfId="0" applyFont="1" applyBorder="1" applyAlignment="1">
      <alignment horizontal="center"/>
    </xf>
    <xf numFmtId="0" fontId="23" fillId="0" borderId="27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/>
    </xf>
    <xf numFmtId="0" fontId="23" fillId="0" borderId="20" xfId="0" applyFont="1" applyFill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2" fontId="1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</xf>
    <xf numFmtId="0" fontId="0" fillId="8" borderId="0" xfId="0" applyFill="1" applyAlignment="1" applyProtection="1">
      <alignment horizontal="center"/>
    </xf>
    <xf numFmtId="0" fontId="0" fillId="0" borderId="0" xfId="0" applyAlignment="1" applyProtection="1">
      <alignment horizontal="center" vertical="top"/>
    </xf>
    <xf numFmtId="0" fontId="12" fillId="0" borderId="19" xfId="0" applyFont="1" applyFill="1" applyBorder="1" applyAlignment="1" applyProtection="1">
      <alignment wrapText="1" readingOrder="1"/>
    </xf>
    <xf numFmtId="0" fontId="0" fillId="0" borderId="0" xfId="0" applyProtection="1">
      <protection locked="0"/>
    </xf>
    <xf numFmtId="0" fontId="13" fillId="14" borderId="11" xfId="0" applyFont="1" applyFill="1" applyBorder="1" applyAlignment="1" applyProtection="1">
      <alignment horizontal="center" vertical="center" wrapText="1" readingOrder="1"/>
      <protection locked="0"/>
    </xf>
    <xf numFmtId="0" fontId="0" fillId="0" borderId="0" xfId="0" applyNumberFormat="1" applyAlignment="1">
      <alignment horizontal="left"/>
    </xf>
    <xf numFmtId="49" fontId="1" fillId="0" borderId="0" xfId="0" applyNumberFormat="1" applyFont="1" applyAlignment="1" applyProtection="1">
      <alignment horizontal="center"/>
    </xf>
    <xf numFmtId="49" fontId="1" fillId="0" borderId="0" xfId="0" applyNumberFormat="1" applyFont="1" applyAlignment="1" applyProtection="1">
      <alignment horizontal="left" wrapText="1"/>
    </xf>
    <xf numFmtId="49" fontId="0" fillId="0" borderId="0" xfId="0" applyNumberFormat="1" applyProtection="1"/>
    <xf numFmtId="0" fontId="13" fillId="0" borderId="19" xfId="0" applyFont="1" applyFill="1" applyBorder="1" applyAlignment="1" applyProtection="1">
      <alignment horizontal="center" vertical="center" wrapText="1" readingOrder="1"/>
      <protection locked="0"/>
    </xf>
    <xf numFmtId="0" fontId="12" fillId="0" borderId="0" xfId="0" applyFont="1" applyFill="1" applyBorder="1" applyAlignment="1" applyProtection="1">
      <alignment horizontal="center" vertical="center" wrapText="1" readingOrder="1"/>
    </xf>
    <xf numFmtId="0" fontId="18" fillId="12" borderId="15" xfId="0" applyFont="1" applyFill="1" applyBorder="1" applyAlignment="1" applyProtection="1">
      <alignment horizontal="center" vertical="center" wrapText="1"/>
    </xf>
    <xf numFmtId="0" fontId="14" fillId="0" borderId="28" xfId="0" applyFont="1" applyFill="1" applyBorder="1" applyAlignment="1" applyProtection="1">
      <alignment horizontal="center" vertical="center" wrapText="1" readingOrder="1"/>
    </xf>
    <xf numFmtId="0" fontId="13" fillId="0" borderId="13" xfId="0" applyFont="1" applyFill="1" applyBorder="1" applyAlignment="1" applyProtection="1">
      <alignment horizontal="center" vertical="center" wrapText="1" readingOrder="1"/>
      <protection locked="0"/>
    </xf>
    <xf numFmtId="0" fontId="13" fillId="0" borderId="12" xfId="0" applyFont="1" applyFill="1" applyBorder="1" applyAlignment="1" applyProtection="1">
      <alignment horizontal="center" vertical="center" wrapText="1" readingOrder="1"/>
      <protection locked="0"/>
    </xf>
    <xf numFmtId="0" fontId="0" fillId="16" borderId="1" xfId="0" applyFill="1" applyBorder="1" applyAlignment="1">
      <alignment horizontal="center" readingOrder="1"/>
    </xf>
    <xf numFmtId="0" fontId="0" fillId="16" borderId="2" xfId="0" applyFill="1" applyBorder="1"/>
    <xf numFmtId="0" fontId="0" fillId="16" borderId="14" xfId="0" applyFill="1" applyBorder="1" applyAlignment="1">
      <alignment horizontal="center"/>
    </xf>
    <xf numFmtId="0" fontId="0" fillId="7" borderId="23" xfId="0" applyFill="1" applyBorder="1" applyAlignment="1">
      <alignment horizontal="center" readingOrder="1"/>
    </xf>
    <xf numFmtId="0" fontId="0" fillId="7" borderId="24" xfId="0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2" fillId="0" borderId="2" xfId="0" applyFont="1" applyFill="1" applyBorder="1" applyAlignment="1" applyProtection="1">
      <alignment vertical="center" wrapText="1" readingOrder="1"/>
    </xf>
    <xf numFmtId="0" fontId="0" fillId="6" borderId="0" xfId="0" applyFill="1" applyBorder="1"/>
    <xf numFmtId="0" fontId="0" fillId="17" borderId="21" xfId="0" applyFill="1" applyBorder="1" applyAlignment="1">
      <alignment horizontal="center" readingOrder="1"/>
    </xf>
    <xf numFmtId="0" fontId="0" fillId="17" borderId="8" xfId="0" applyFill="1" applyBorder="1"/>
    <xf numFmtId="0" fontId="0" fillId="17" borderId="22" xfId="0" applyFill="1" applyBorder="1" applyAlignment="1">
      <alignment horizontal="center"/>
    </xf>
    <xf numFmtId="0" fontId="0" fillId="17" borderId="0" xfId="0" applyFill="1" applyBorder="1"/>
    <xf numFmtId="0" fontId="0" fillId="6" borderId="21" xfId="0" applyFill="1" applyBorder="1" applyAlignment="1">
      <alignment horizontal="center" readingOrder="1"/>
    </xf>
    <xf numFmtId="0" fontId="0" fillId="6" borderId="8" xfId="0" applyFill="1" applyBorder="1"/>
    <xf numFmtId="0" fontId="0" fillId="6" borderId="22" xfId="0" applyFill="1" applyBorder="1" applyAlignment="1">
      <alignment horizontal="center"/>
    </xf>
    <xf numFmtId="0" fontId="0" fillId="17" borderId="1" xfId="0" applyFill="1" applyBorder="1" applyAlignment="1">
      <alignment horizontal="center" readingOrder="1"/>
    </xf>
    <xf numFmtId="0" fontId="0" fillId="17" borderId="2" xfId="0" applyFill="1" applyBorder="1"/>
    <xf numFmtId="0" fontId="0" fillId="17" borderId="14" xfId="0" applyFill="1" applyBorder="1" applyAlignment="1">
      <alignment horizontal="center"/>
    </xf>
    <xf numFmtId="0" fontId="0" fillId="17" borderId="0" xfId="0" applyFill="1" applyBorder="1" applyAlignment="1">
      <alignment horizontal="center" readingOrder="1"/>
    </xf>
    <xf numFmtId="0" fontId="0" fillId="17" borderId="0" xfId="0" applyFill="1" applyBorder="1" applyAlignment="1">
      <alignment horizontal="center"/>
    </xf>
    <xf numFmtId="0" fontId="0" fillId="16" borderId="0" xfId="0" applyFill="1" applyBorder="1" applyAlignment="1">
      <alignment horizontal="center" readingOrder="1"/>
    </xf>
    <xf numFmtId="0" fontId="0" fillId="16" borderId="0" xfId="0" applyFill="1" applyBorder="1" applyAlignment="1">
      <alignment horizontal="center"/>
    </xf>
    <xf numFmtId="0" fontId="0" fillId="7" borderId="0" xfId="0" applyFill="1" applyBorder="1" applyAlignment="1">
      <alignment horizontal="center" readingOrder="1"/>
    </xf>
    <xf numFmtId="0" fontId="0" fillId="7" borderId="0" xfId="0" applyFill="1" applyBorder="1" applyAlignment="1">
      <alignment horizontal="center"/>
    </xf>
    <xf numFmtId="0" fontId="0" fillId="6" borderId="0" xfId="0" applyFill="1" applyBorder="1" applyAlignment="1">
      <alignment horizontal="center" readingOrder="1"/>
    </xf>
    <xf numFmtId="0" fontId="0" fillId="6" borderId="0" xfId="0" applyFill="1" applyBorder="1" applyAlignment="1">
      <alignment horizontal="center"/>
    </xf>
    <xf numFmtId="0" fontId="0" fillId="15" borderId="0" xfId="0" applyFill="1" applyBorder="1" applyAlignment="1">
      <alignment horizontal="center" readingOrder="1"/>
    </xf>
    <xf numFmtId="0" fontId="0" fillId="15" borderId="0" xfId="0" applyFill="1" applyBorder="1"/>
    <xf numFmtId="0" fontId="0" fillId="15" borderId="0" xfId="0" applyFill="1" applyBorder="1" applyAlignment="1">
      <alignment horizontal="center"/>
    </xf>
    <xf numFmtId="0" fontId="18" fillId="12" borderId="21" xfId="0" applyFont="1" applyFill="1" applyBorder="1" applyAlignment="1" applyProtection="1">
      <alignment horizontal="center" vertical="center" wrapText="1" readingOrder="1"/>
      <protection locked="0"/>
    </xf>
    <xf numFmtId="0" fontId="14" fillId="0" borderId="4" xfId="0" applyFont="1" applyFill="1" applyBorder="1" applyAlignment="1" applyProtection="1">
      <alignment vertical="center" wrapText="1" readingOrder="1"/>
    </xf>
    <xf numFmtId="0" fontId="24" fillId="0" borderId="15" xfId="0" applyFont="1" applyFill="1" applyBorder="1" applyAlignment="1" applyProtection="1">
      <alignment horizontal="center" vertical="center" wrapText="1" readingOrder="1"/>
    </xf>
    <xf numFmtId="0" fontId="24" fillId="0" borderId="10" xfId="0" applyFont="1" applyFill="1" applyBorder="1" applyAlignment="1" applyProtection="1">
      <alignment horizontal="center" vertical="center" wrapText="1" readingOrder="1"/>
    </xf>
    <xf numFmtId="0" fontId="12" fillId="0" borderId="0" xfId="0" applyFont="1" applyFill="1" applyBorder="1" applyAlignment="1" applyProtection="1">
      <alignment horizontal="center" vertical="center" textRotation="90" readingOrder="1"/>
      <protection locked="0"/>
    </xf>
    <xf numFmtId="0" fontId="0" fillId="0" borderId="0" xfId="0" applyFill="1"/>
    <xf numFmtId="0" fontId="0" fillId="7" borderId="21" xfId="0" applyFill="1" applyBorder="1" applyAlignment="1">
      <alignment horizontal="center" readingOrder="1"/>
    </xf>
    <xf numFmtId="0" fontId="0" fillId="7" borderId="8" xfId="0" applyFill="1" applyBorder="1"/>
    <xf numFmtId="0" fontId="0" fillId="7" borderId="22" xfId="0" applyFill="1" applyBorder="1" applyAlignment="1">
      <alignment horizontal="center"/>
    </xf>
    <xf numFmtId="0" fontId="0" fillId="7" borderId="1" xfId="0" applyFill="1" applyBorder="1" applyAlignment="1">
      <alignment horizontal="center" readingOrder="1"/>
    </xf>
    <xf numFmtId="0" fontId="0" fillId="7" borderId="2" xfId="0" applyFill="1" applyBorder="1"/>
    <xf numFmtId="0" fontId="0" fillId="7" borderId="14" xfId="0" applyFill="1" applyBorder="1" applyAlignment="1">
      <alignment horizontal="center"/>
    </xf>
    <xf numFmtId="0" fontId="0" fillId="6" borderId="1" xfId="0" applyFill="1" applyBorder="1" applyAlignment="1">
      <alignment horizontal="center" readingOrder="1"/>
    </xf>
    <xf numFmtId="0" fontId="0" fillId="6" borderId="2" xfId="0" applyFill="1" applyBorder="1"/>
    <xf numFmtId="0" fontId="0" fillId="6" borderId="14" xfId="0" applyFill="1" applyBorder="1" applyAlignment="1">
      <alignment horizontal="center"/>
    </xf>
    <xf numFmtId="0" fontId="17" fillId="12" borderId="0" xfId="0" applyFont="1" applyFill="1" applyBorder="1" applyAlignment="1" applyProtection="1">
      <alignment horizontal="center" vertical="center" wrapText="1" readingOrder="1"/>
    </xf>
    <xf numFmtId="0" fontId="19" fillId="11" borderId="10" xfId="0" applyFont="1" applyFill="1" applyBorder="1" applyAlignment="1" applyProtection="1">
      <alignment horizontal="center" readingOrder="1"/>
      <protection locked="0"/>
    </xf>
    <xf numFmtId="0" fontId="12" fillId="14" borderId="11" xfId="0" applyFont="1" applyFill="1" applyBorder="1" applyAlignment="1" applyProtection="1">
      <alignment horizontal="center" vertical="center" readingOrder="1"/>
      <protection locked="0"/>
    </xf>
    <xf numFmtId="0" fontId="18" fillId="12" borderId="10" xfId="0" applyFont="1" applyFill="1" applyBorder="1" applyAlignment="1" applyProtection="1">
      <alignment horizontal="center" vertical="center" wrapText="1" readingOrder="1"/>
      <protection locked="0"/>
    </xf>
    <xf numFmtId="0" fontId="18" fillId="12" borderId="0" xfId="0" applyFont="1" applyFill="1" applyBorder="1" applyAlignment="1" applyProtection="1">
      <alignment horizontal="center" vertical="center" wrapText="1" readingOrder="1"/>
    </xf>
    <xf numFmtId="0" fontId="13" fillId="0" borderId="17" xfId="0" applyNumberFormat="1" applyFont="1" applyFill="1" applyBorder="1" applyAlignment="1" applyProtection="1">
      <alignment horizontal="center" vertical="center" wrapText="1" readingOrder="1"/>
      <protection locked="0"/>
    </xf>
    <xf numFmtId="0" fontId="1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4" fillId="0" borderId="15" xfId="0" applyFont="1" applyFill="1" applyBorder="1" applyAlignment="1" applyProtection="1">
      <alignment horizontal="center" vertical="center" wrapText="1" readingOrder="1"/>
    </xf>
    <xf numFmtId="0" fontId="20" fillId="0" borderId="0" xfId="0" applyFont="1" applyFill="1" applyBorder="1" applyAlignment="1" applyProtection="1">
      <alignment horizontal="right" wrapText="1" readingOrder="1"/>
      <protection locked="0"/>
    </xf>
    <xf numFmtId="0" fontId="12" fillId="0" borderId="0" xfId="0" applyFont="1" applyBorder="1" applyAlignment="1">
      <alignment horizontal="right" readingOrder="1"/>
    </xf>
    <xf numFmtId="49" fontId="16" fillId="0" borderId="0" xfId="0" applyNumberFormat="1" applyFont="1" applyAlignment="1" applyProtection="1">
      <alignment wrapText="1"/>
    </xf>
    <xf numFmtId="0" fontId="0" fillId="0" borderId="0" xfId="0" applyFill="1" applyAlignment="1" applyProtection="1">
      <alignment wrapText="1" readingOrder="1"/>
      <protection locked="0"/>
    </xf>
    <xf numFmtId="0" fontId="0" fillId="0" borderId="0" xfId="0" applyFill="1" applyAlignment="1" applyProtection="1">
      <alignment readingOrder="1"/>
      <protection locked="0"/>
    </xf>
    <xf numFmtId="0" fontId="24" fillId="0" borderId="15" xfId="0" applyFont="1" applyFill="1" applyBorder="1" applyAlignment="1" applyProtection="1">
      <alignment horizontal="center" vertical="center" wrapText="1" readingOrder="1"/>
    </xf>
    <xf numFmtId="2" fontId="0" fillId="0" borderId="0" xfId="0" applyNumberFormat="1" applyAlignment="1" applyProtection="1">
      <alignment horizontal="center" vertical="top"/>
    </xf>
    <xf numFmtId="0" fontId="2" fillId="0" borderId="0" xfId="0" applyNumberFormat="1" applyFont="1" applyAlignment="1" applyProtection="1">
      <alignment readingOrder="1"/>
      <protection locked="0"/>
    </xf>
    <xf numFmtId="0" fontId="12" fillId="0" borderId="12" xfId="0" applyFont="1" applyFill="1" applyBorder="1" applyAlignment="1" applyProtection="1">
      <alignment horizontal="center" vertical="center" readingOrder="1"/>
      <protection locked="0"/>
    </xf>
    <xf numFmtId="0" fontId="12" fillId="0" borderId="13" xfId="0" applyNumberFormat="1" applyFont="1" applyFill="1" applyBorder="1" applyAlignment="1" applyProtection="1">
      <alignment horizontal="center" vertical="center" readingOrder="1"/>
      <protection locked="0"/>
    </xf>
    <xf numFmtId="9" fontId="0" fillId="0" borderId="0" xfId="0" applyNumberFormat="1"/>
    <xf numFmtId="9" fontId="13" fillId="18" borderId="12" xfId="0" applyNumberFormat="1" applyFont="1" applyFill="1" applyBorder="1" applyAlignment="1" applyProtection="1">
      <alignment horizontal="center" readingOrder="1"/>
      <protection locked="0"/>
    </xf>
    <xf numFmtId="9" fontId="12" fillId="18" borderId="13" xfId="0" applyNumberFormat="1" applyFont="1" applyFill="1" applyBorder="1" applyAlignment="1" applyProtection="1">
      <alignment horizontal="center" readingOrder="1"/>
      <protection locked="0"/>
    </xf>
    <xf numFmtId="9" fontId="13" fillId="20" borderId="12" xfId="0" applyNumberFormat="1" applyFont="1" applyFill="1" applyBorder="1" applyAlignment="1" applyProtection="1">
      <alignment horizontal="center" readingOrder="1"/>
      <protection locked="0"/>
    </xf>
    <xf numFmtId="9" fontId="13" fillId="19" borderId="12" xfId="0" applyNumberFormat="1" applyFont="1" applyFill="1" applyBorder="1" applyAlignment="1" applyProtection="1">
      <alignment horizontal="center" readingOrder="1"/>
      <protection locked="0"/>
    </xf>
    <xf numFmtId="9" fontId="12" fillId="19" borderId="13" xfId="0" applyNumberFormat="1" applyFont="1" applyFill="1" applyBorder="1" applyAlignment="1" applyProtection="1">
      <alignment horizontal="center" readingOrder="1"/>
      <protection locked="0"/>
    </xf>
    <xf numFmtId="0" fontId="24" fillId="0" borderId="15" xfId="0" applyFont="1" applyFill="1" applyBorder="1" applyAlignment="1" applyProtection="1">
      <alignment horizontal="center" vertical="center" wrapText="1" readingOrder="1"/>
    </xf>
    <xf numFmtId="9" fontId="12" fillId="20" borderId="13" xfId="0" applyNumberFormat="1" applyFont="1" applyFill="1" applyBorder="1" applyAlignment="1" applyProtection="1">
      <alignment horizontal="center" readingOrder="1"/>
      <protection locked="0"/>
    </xf>
    <xf numFmtId="9" fontId="13" fillId="21" borderId="31" xfId="0" applyNumberFormat="1" applyFont="1" applyFill="1" applyBorder="1" applyAlignment="1" applyProtection="1">
      <alignment horizontal="center" vertical="center" wrapText="1" readingOrder="1"/>
    </xf>
    <xf numFmtId="9" fontId="13" fillId="21" borderId="18" xfId="0" applyNumberFormat="1" applyFont="1" applyFill="1" applyBorder="1" applyAlignment="1" applyProtection="1">
      <alignment horizontal="center" vertical="center" wrapText="1" readingOrder="1"/>
    </xf>
    <xf numFmtId="9" fontId="13" fillId="21" borderId="32" xfId="0" applyNumberFormat="1" applyFont="1" applyFill="1" applyBorder="1" applyAlignment="1" applyProtection="1">
      <alignment horizontal="center" vertical="center" wrapText="1" readingOrder="1"/>
    </xf>
    <xf numFmtId="0" fontId="14" fillId="0" borderId="33" xfId="0" applyFont="1" applyFill="1" applyBorder="1" applyAlignment="1" applyProtection="1">
      <alignment horizontal="center" vertical="center" wrapText="1" readingOrder="1"/>
      <protection locked="0"/>
    </xf>
    <xf numFmtId="0" fontId="14" fillId="0" borderId="34" xfId="0" applyFont="1" applyFill="1" applyBorder="1" applyAlignment="1" applyProtection="1">
      <alignment horizontal="center" vertical="center" wrapText="1" readingOrder="1"/>
      <protection locked="0"/>
    </xf>
    <xf numFmtId="0" fontId="13" fillId="0" borderId="33" xfId="0" applyFont="1" applyFill="1" applyBorder="1" applyAlignment="1" applyProtection="1">
      <alignment horizontal="center" vertical="center" wrapText="1" readingOrder="1"/>
      <protection locked="0"/>
    </xf>
    <xf numFmtId="0" fontId="13" fillId="0" borderId="34" xfId="0" applyFont="1" applyFill="1" applyBorder="1" applyAlignment="1" applyProtection="1">
      <alignment horizontal="center" vertical="center" wrapText="1" readingOrder="1"/>
      <protection locked="0"/>
    </xf>
    <xf numFmtId="0" fontId="13" fillId="0" borderId="35" xfId="0" applyFont="1" applyFill="1" applyBorder="1" applyAlignment="1" applyProtection="1">
      <alignment horizontal="center" vertical="center" wrapText="1" readingOrder="1"/>
      <protection locked="0"/>
    </xf>
    <xf numFmtId="0" fontId="14" fillId="0" borderId="11" xfId="0" applyFont="1" applyFill="1" applyBorder="1" applyAlignment="1" applyProtection="1">
      <alignment horizontal="center" vertical="center" wrapText="1" readingOrder="1"/>
    </xf>
    <xf numFmtId="0" fontId="14" fillId="0" borderId="12" xfId="0" applyFont="1" applyFill="1" applyBorder="1" applyAlignment="1" applyProtection="1">
      <alignment horizontal="center" vertical="center" wrapText="1" readingOrder="1"/>
    </xf>
    <xf numFmtId="0" fontId="14" fillId="0" borderId="13" xfId="0" applyFont="1" applyFill="1" applyBorder="1" applyAlignment="1" applyProtection="1">
      <alignment horizontal="center" vertical="center" wrapText="1" readingOrder="1"/>
    </xf>
    <xf numFmtId="0" fontId="14" fillId="0" borderId="38" xfId="0" applyFont="1" applyFill="1" applyBorder="1" applyAlignment="1" applyProtection="1">
      <alignment vertical="center" wrapText="1" readingOrder="1"/>
    </xf>
    <xf numFmtId="0" fontId="14" fillId="0" borderId="39" xfId="0" applyFont="1" applyFill="1" applyBorder="1" applyAlignment="1" applyProtection="1">
      <alignment vertical="center" wrapText="1" readingOrder="1"/>
    </xf>
    <xf numFmtId="0" fontId="21" fillId="13" borderId="5" xfId="0" applyFont="1" applyFill="1" applyBorder="1" applyAlignment="1" applyProtection="1">
      <alignment horizontal="center" vertical="center" wrapText="1" readingOrder="1"/>
    </xf>
    <xf numFmtId="0" fontId="21" fillId="13" borderId="6" xfId="0" applyFont="1" applyFill="1" applyBorder="1" applyAlignment="1" applyProtection="1">
      <alignment horizontal="center" vertical="center" readingOrder="1"/>
    </xf>
    <xf numFmtId="0" fontId="14" fillId="0" borderId="29" xfId="0" applyFont="1" applyFill="1" applyBorder="1" applyAlignment="1" applyProtection="1">
      <alignment vertical="center" wrapText="1" readingOrder="1"/>
    </xf>
    <xf numFmtId="0" fontId="14" fillId="0" borderId="30" xfId="0" applyFont="1" applyFill="1" applyBorder="1" applyAlignment="1" applyProtection="1">
      <alignment vertical="center" wrapText="1" readingOrder="1"/>
    </xf>
    <xf numFmtId="0" fontId="18" fillId="12" borderId="21" xfId="0" applyFont="1" applyFill="1" applyBorder="1" applyAlignment="1" applyProtection="1">
      <alignment horizontal="center" vertical="center" wrapText="1"/>
    </xf>
    <xf numFmtId="0" fontId="18" fillId="12" borderId="22" xfId="0" applyFont="1" applyFill="1" applyBorder="1" applyAlignment="1" applyProtection="1">
      <alignment horizontal="center" vertical="center" wrapText="1"/>
    </xf>
    <xf numFmtId="0" fontId="14" fillId="0" borderId="36" xfId="0" applyFont="1" applyFill="1" applyBorder="1" applyAlignment="1" applyProtection="1">
      <alignment vertical="center" wrapText="1" readingOrder="1"/>
    </xf>
    <xf numFmtId="0" fontId="14" fillId="0" borderId="37" xfId="0" applyFont="1" applyFill="1" applyBorder="1" applyAlignment="1" applyProtection="1">
      <alignment vertical="center" wrapText="1" readingOrder="1"/>
    </xf>
    <xf numFmtId="0" fontId="18" fillId="12" borderId="5" xfId="0" applyFont="1" applyFill="1" applyBorder="1" applyAlignment="1" applyProtection="1">
      <alignment horizontal="center" vertical="center" wrapText="1" readingOrder="1"/>
    </xf>
    <xf numFmtId="0" fontId="18" fillId="12" borderId="6" xfId="0" applyFont="1" applyFill="1" applyBorder="1" applyAlignment="1" applyProtection="1">
      <alignment horizontal="center" vertical="center" wrapText="1" readingOrder="1"/>
    </xf>
    <xf numFmtId="0" fontId="18" fillId="12" borderId="22" xfId="0" applyFont="1" applyFill="1" applyBorder="1" applyAlignment="1" applyProtection="1">
      <alignment horizontal="center" vertical="center" wrapText="1" readingOrder="1"/>
    </xf>
    <xf numFmtId="0" fontId="15" fillId="4" borderId="0" xfId="0" applyFont="1" applyFill="1" applyBorder="1" applyAlignment="1" applyProtection="1">
      <alignment horizontal="center" readingOrder="1"/>
    </xf>
    <xf numFmtId="0" fontId="1" fillId="0" borderId="0" xfId="0" applyFont="1" applyFill="1" applyBorder="1" applyAlignment="1" applyProtection="1">
      <alignment horizontal="center" readingOrder="1"/>
    </xf>
    <xf numFmtId="0" fontId="11" fillId="11" borderId="5" xfId="1" applyFont="1" applyFill="1" applyBorder="1" applyAlignment="1" applyProtection="1">
      <alignment horizontal="center" wrapText="1" readingOrder="1"/>
    </xf>
    <xf numFmtId="0" fontId="11" fillId="11" borderId="6" xfId="1" applyFont="1" applyFill="1" applyBorder="1" applyAlignment="1" applyProtection="1">
      <alignment horizontal="center" wrapText="1" readingOrder="1"/>
    </xf>
    <xf numFmtId="0" fontId="1" fillId="0" borderId="9" xfId="0" applyFont="1" applyFill="1" applyBorder="1" applyAlignment="1" applyProtection="1">
      <alignment horizontal="center" readingOrder="1"/>
    </xf>
    <xf numFmtId="0" fontId="23" fillId="9" borderId="15" xfId="0" applyFont="1" applyFill="1" applyBorder="1" applyAlignment="1" applyProtection="1">
      <alignment horizontal="center" vertical="center" textRotation="90" wrapText="1" readingOrder="1"/>
    </xf>
    <xf numFmtId="0" fontId="23" fillId="9" borderId="17" xfId="0" applyFont="1" applyFill="1" applyBorder="1" applyAlignment="1" applyProtection="1">
      <alignment horizontal="center" vertical="center" textRotation="90" wrapText="1" readingOrder="1"/>
    </xf>
    <xf numFmtId="0" fontId="23" fillId="11" borderId="15" xfId="0" applyFont="1" applyFill="1" applyBorder="1" applyAlignment="1" applyProtection="1">
      <alignment horizontal="center" vertical="center" textRotation="90" wrapText="1" readingOrder="1"/>
    </xf>
    <xf numFmtId="0" fontId="23" fillId="11" borderId="17" xfId="0" applyFont="1" applyFill="1" applyBorder="1" applyAlignment="1" applyProtection="1">
      <alignment horizontal="center" vertical="center" textRotation="90" wrapText="1" readingOrder="1"/>
    </xf>
    <xf numFmtId="0" fontId="23" fillId="4" borderId="15" xfId="0" applyFont="1" applyFill="1" applyBorder="1" applyAlignment="1" applyProtection="1">
      <alignment horizontal="center" vertical="center" textRotation="90" wrapText="1" readingOrder="1"/>
    </xf>
    <xf numFmtId="0" fontId="23" fillId="4" borderId="16" xfId="0" applyFont="1" applyFill="1" applyBorder="1" applyAlignment="1" applyProtection="1">
      <alignment horizontal="center" vertical="center" textRotation="90" wrapText="1" readingOrder="1"/>
    </xf>
    <xf numFmtId="0" fontId="23" fillId="10" borderId="15" xfId="0" applyFont="1" applyFill="1" applyBorder="1" applyAlignment="1" applyProtection="1">
      <alignment horizontal="center" vertical="center" textRotation="90" wrapText="1" readingOrder="1"/>
    </xf>
    <xf numFmtId="0" fontId="23" fillId="10" borderId="16" xfId="0" applyFont="1" applyFill="1" applyBorder="1" applyAlignment="1" applyProtection="1">
      <alignment horizontal="center" vertical="center" textRotation="90" wrapText="1" readingOrder="1"/>
    </xf>
    <xf numFmtId="0" fontId="24" fillId="0" borderId="15" xfId="0" applyFont="1" applyFill="1" applyBorder="1" applyAlignment="1" applyProtection="1">
      <alignment horizontal="center" vertical="center" wrapText="1" readingOrder="1"/>
    </xf>
    <xf numFmtId="0" fontId="24" fillId="0" borderId="17" xfId="0" applyFont="1" applyFill="1" applyBorder="1" applyAlignment="1" applyProtection="1">
      <alignment horizontal="center" vertical="center" wrapText="1" readingOrder="1"/>
    </xf>
    <xf numFmtId="0" fontId="24" fillId="0" borderId="16" xfId="0" applyFont="1" applyFill="1" applyBorder="1" applyAlignment="1" applyProtection="1">
      <alignment horizontal="center" vertical="center" wrapText="1" readingOrder="1"/>
    </xf>
    <xf numFmtId="0" fontId="14" fillId="0" borderId="40" xfId="0" applyFont="1" applyFill="1" applyBorder="1" applyAlignment="1" applyProtection="1">
      <alignment vertical="center" wrapText="1" readingOrder="1"/>
    </xf>
    <xf numFmtId="0" fontId="14" fillId="0" borderId="41" xfId="0" applyFont="1" applyFill="1" applyBorder="1" applyAlignment="1" applyProtection="1">
      <alignment vertical="center" wrapText="1" readingOrder="1"/>
    </xf>
    <xf numFmtId="0" fontId="23" fillId="9" borderId="16" xfId="0" applyFont="1" applyFill="1" applyBorder="1" applyAlignment="1" applyProtection="1">
      <alignment horizontal="center" vertical="center" textRotation="90" wrapText="1" readingOrder="1"/>
    </xf>
    <xf numFmtId="0" fontId="18" fillId="12" borderId="5" xfId="0" applyFont="1" applyFill="1" applyBorder="1" applyAlignment="1" applyProtection="1">
      <alignment horizontal="center" vertical="center" readingOrder="1"/>
      <protection locked="0"/>
    </xf>
    <xf numFmtId="0" fontId="18" fillId="12" borderId="6" xfId="0" applyFont="1" applyFill="1" applyBorder="1" applyAlignment="1" applyProtection="1">
      <alignment horizontal="center" vertical="center" readingOrder="1"/>
      <protection locked="0"/>
    </xf>
    <xf numFmtId="0" fontId="18" fillId="12" borderId="7" xfId="0" applyFont="1" applyFill="1" applyBorder="1" applyAlignment="1" applyProtection="1">
      <alignment horizontal="center" vertical="center" readingOrder="1"/>
      <protection locked="0"/>
    </xf>
  </cellXfs>
  <cellStyles count="3">
    <cellStyle name="Normal" xfId="0" builtinId="0"/>
    <cellStyle name="Normal 2" xfId="2"/>
    <cellStyle name="Note" xfId="1" builtinId="10"/>
  </cellStyles>
  <dxfs count="0"/>
  <tableStyles count="0" defaultTableStyle="TableStyleMedium2" defaultPivotStyle="PivotStyleLight16"/>
  <colors>
    <mruColors>
      <color rgb="FF33CCCC"/>
      <color rgb="FFFF6699"/>
      <color rgb="FF99CCFF"/>
      <color rgb="FF0000CC"/>
      <color rgb="FFFF9900"/>
      <color rgb="FF000099"/>
      <color rgb="FFCC0000"/>
      <color rgb="FF336699"/>
      <color rgb="FF3366CC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36462</xdr:colOff>
      <xdr:row>2</xdr:row>
      <xdr:rowOff>2250</xdr:rowOff>
    </xdr:from>
    <xdr:ext cx="184731" cy="264558"/>
    <xdr:sp macro="" textlink="">
      <xdr:nvSpPr>
        <xdr:cNvPr id="2" name="TextBox 1"/>
        <xdr:cNvSpPr txBox="1"/>
      </xdr:nvSpPr>
      <xdr:spPr>
        <a:xfrm>
          <a:off x="468262" y="656300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1</xdr:row>
          <xdr:rowOff>26811</xdr:rowOff>
        </xdr:from>
        <xdr:to>
          <xdr:col>2</xdr:col>
          <xdr:colOff>757061</xdr:colOff>
          <xdr:row>1</xdr:row>
          <xdr:rowOff>312561</xdr:rowOff>
        </xdr:to>
        <xdr:sp macro="" textlink="">
          <xdr:nvSpPr>
            <xdr:cNvPr id="3149" name="CommandButton1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27517</xdr:colOff>
          <xdr:row>1</xdr:row>
          <xdr:rowOff>26811</xdr:rowOff>
        </xdr:from>
        <xdr:to>
          <xdr:col>4</xdr:col>
          <xdr:colOff>781050</xdr:colOff>
          <xdr:row>1</xdr:row>
          <xdr:rowOff>312561</xdr:rowOff>
        </xdr:to>
        <xdr:sp macro="" textlink="">
          <xdr:nvSpPr>
            <xdr:cNvPr id="3151" name="CommandButton2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1</xdr:row>
          <xdr:rowOff>26811</xdr:rowOff>
        </xdr:from>
        <xdr:to>
          <xdr:col>5</xdr:col>
          <xdr:colOff>91722</xdr:colOff>
          <xdr:row>1</xdr:row>
          <xdr:rowOff>312561</xdr:rowOff>
        </xdr:to>
        <xdr:sp macro="" textlink="">
          <xdr:nvSpPr>
            <xdr:cNvPr id="3152" name="CommandButton3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186972</xdr:colOff>
          <xdr:row>1</xdr:row>
          <xdr:rowOff>26811</xdr:rowOff>
        </xdr:from>
        <xdr:to>
          <xdr:col>5</xdr:col>
          <xdr:colOff>1520472</xdr:colOff>
          <xdr:row>1</xdr:row>
          <xdr:rowOff>312561</xdr:rowOff>
        </xdr:to>
        <xdr:sp macro="" textlink="">
          <xdr:nvSpPr>
            <xdr:cNvPr id="3153" name="CommandButton4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1609372</xdr:colOff>
          <xdr:row>1</xdr:row>
          <xdr:rowOff>26811</xdr:rowOff>
        </xdr:from>
        <xdr:to>
          <xdr:col>6</xdr:col>
          <xdr:colOff>1049161</xdr:colOff>
          <xdr:row>1</xdr:row>
          <xdr:rowOff>312561</xdr:rowOff>
        </xdr:to>
        <xdr:sp macro="" textlink="">
          <xdr:nvSpPr>
            <xdr:cNvPr id="3178" name="ComboBox1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1074561</xdr:colOff>
          <xdr:row>1</xdr:row>
          <xdr:rowOff>26811</xdr:rowOff>
        </xdr:from>
        <xdr:to>
          <xdr:col>6</xdr:col>
          <xdr:colOff>1442861</xdr:colOff>
          <xdr:row>1</xdr:row>
          <xdr:rowOff>312561</xdr:rowOff>
        </xdr:to>
        <xdr:sp macro="" textlink="">
          <xdr:nvSpPr>
            <xdr:cNvPr id="3199" name="CommandButton5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124413</xdr:colOff>
      <xdr:row>2</xdr:row>
      <xdr:rowOff>182558</xdr:rowOff>
    </xdr:from>
    <xdr:to>
      <xdr:col>4</xdr:col>
      <xdr:colOff>1929383</xdr:colOff>
      <xdr:row>13</xdr:row>
      <xdr:rowOff>25692</xdr:rowOff>
    </xdr:to>
    <xdr:grpSp>
      <xdr:nvGrpSpPr>
        <xdr:cNvPr id="6" name="Group 5"/>
        <xdr:cNvGrpSpPr/>
      </xdr:nvGrpSpPr>
      <xdr:grpSpPr>
        <a:xfrm>
          <a:off x="124413" y="838725"/>
          <a:ext cx="3455970" cy="1861023"/>
          <a:chOff x="124413" y="825495"/>
          <a:chExt cx="3448033" cy="1891009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8359" y="825495"/>
            <a:ext cx="2604087" cy="1872000"/>
          </a:xfrm>
          <a:prstGeom prst="rect">
            <a:avLst/>
          </a:prstGeom>
        </xdr:spPr>
      </xdr:pic>
      <xdr:grpSp>
        <xdr:nvGrpSpPr>
          <xdr:cNvPr id="4" name="Group 3"/>
          <xdr:cNvGrpSpPr/>
        </xdr:nvGrpSpPr>
        <xdr:grpSpPr>
          <a:xfrm>
            <a:off x="124413" y="1987612"/>
            <a:ext cx="810293" cy="728892"/>
            <a:chOff x="100599" y="1971736"/>
            <a:chExt cx="810293" cy="728892"/>
          </a:xfrm>
        </xdr:grpSpPr>
        <xdr:pic>
          <xdr:nvPicPr>
            <xdr:cNvPr id="17" name="Picture 16" descr="http://elearn.cs.man.ac.uk/~atlas/images/uom-logo.jp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7408" y="2385971"/>
              <a:ext cx="803484" cy="31465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8" name="Picture 17" descr="http://imgwpowl.cs.manchester.ac.uk/wp-content/uploads/2011/03/BHIG2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0599" y="1971736"/>
              <a:ext cx="803480" cy="37871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0</xdr:row>
          <xdr:rowOff>152400</xdr:rowOff>
        </xdr:from>
        <xdr:to>
          <xdr:col>0</xdr:col>
          <xdr:colOff>2393950</xdr:colOff>
          <xdr:row>0</xdr:row>
          <xdr:rowOff>704850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1028700</xdr:rowOff>
        </xdr:from>
        <xdr:to>
          <xdr:col>0</xdr:col>
          <xdr:colOff>2832100</xdr:colOff>
          <xdr:row>0</xdr:row>
          <xdr:rowOff>1390650</xdr:rowOff>
        </xdr:to>
        <xdr:sp macro="" textlink="">
          <xdr:nvSpPr>
            <xdr:cNvPr id="6146" name="CmdBtnInitialiseCheckListSystem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1562100</xdr:rowOff>
        </xdr:from>
        <xdr:to>
          <xdr:col>0</xdr:col>
          <xdr:colOff>2813050</xdr:colOff>
          <xdr:row>0</xdr:row>
          <xdr:rowOff>2152650</xdr:rowOff>
        </xdr:to>
        <xdr:sp macro="" textlink="">
          <xdr:nvSpPr>
            <xdr:cNvPr id="6147" name="CmdBtnSetDataValidati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2914650</xdr:colOff>
          <xdr:row>0</xdr:row>
          <xdr:rowOff>171450</xdr:rowOff>
        </xdr:from>
        <xdr:to>
          <xdr:col>0</xdr:col>
          <xdr:colOff>4984750</xdr:colOff>
          <xdr:row>0</xdr:row>
          <xdr:rowOff>660400</xdr:rowOff>
        </xdr:to>
        <xdr:sp macro="" textlink="">
          <xdr:nvSpPr>
            <xdr:cNvPr id="6148" name="CmdBtnDeletePap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165100</xdr:rowOff>
        </xdr:from>
        <xdr:to>
          <xdr:col>4</xdr:col>
          <xdr:colOff>127000</xdr:colOff>
          <xdr:row>0</xdr:row>
          <xdr:rowOff>654050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2921000</xdr:colOff>
          <xdr:row>0</xdr:row>
          <xdr:rowOff>1568450</xdr:rowOff>
        </xdr:from>
        <xdr:to>
          <xdr:col>0</xdr:col>
          <xdr:colOff>4991100</xdr:colOff>
          <xdr:row>0</xdr:row>
          <xdr:rowOff>2057400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1587500</xdr:rowOff>
        </xdr:from>
        <xdr:to>
          <xdr:col>4</xdr:col>
          <xdr:colOff>127000</xdr:colOff>
          <xdr:row>0</xdr:row>
          <xdr:rowOff>2076450</xdr:rowOff>
        </xdr:to>
        <xdr:sp macro="" textlink="">
          <xdr:nvSpPr>
            <xdr:cNvPr id="6151" name="CommandButton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5778500</xdr:colOff>
          <xdr:row>0</xdr:row>
          <xdr:rowOff>2438400</xdr:rowOff>
        </xdr:from>
        <xdr:to>
          <xdr:col>0</xdr:col>
          <xdr:colOff>8267700</xdr:colOff>
          <xdr:row>0</xdr:row>
          <xdr:rowOff>3194050</xdr:rowOff>
        </xdr:to>
        <xdr:sp macro="" textlink="">
          <xdr:nvSpPr>
            <xdr:cNvPr id="6152" name="CommandButton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0</xdr:rowOff>
    </xdr:from>
    <xdr:ext cx="184731" cy="264558"/>
    <xdr:sp macro="" textlink="">
      <xdr:nvSpPr>
        <xdr:cNvPr id="2" name="TextBox 1"/>
        <xdr:cNvSpPr txBox="1"/>
      </xdr:nvSpPr>
      <xdr:spPr>
        <a:xfrm>
          <a:off x="464591" y="640076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image" Target="../media/image17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6.emf"/><Relationship Id="rId1" Type="http://schemas.openxmlformats.org/officeDocument/2006/relationships/drawing" Target="../drawings/drawing2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39"/>
  <sheetViews>
    <sheetView showGridLines="0" tabSelected="1" zoomScale="90" zoomScaleNormal="90" zoomScaleSheetLayoutView="80" workbookViewId="0">
      <pane xSplit="7" ySplit="15" topLeftCell="H16" activePane="bottomRight" state="frozen"/>
      <selection pane="topRight"/>
      <selection pane="bottomLeft"/>
      <selection pane="bottomRight" activeCell="E21" sqref="E21:F21"/>
    </sheetView>
  </sheetViews>
  <sheetFormatPr defaultColWidth="9.26953125" defaultRowHeight="14.5" zeroHeight="1"/>
  <cols>
    <col min="1" max="1" width="6.1796875" style="5" customWidth="1"/>
    <col min="2" max="2" width="5.26953125" style="6" hidden="1" customWidth="1"/>
    <col min="3" max="3" width="11.7265625" style="7" customWidth="1"/>
    <col min="4" max="4" width="5.7265625" style="7" customWidth="1"/>
    <col min="5" max="5" width="27.81640625" style="10" customWidth="1"/>
    <col min="6" max="6" width="23.81640625" style="10" customWidth="1"/>
    <col min="7" max="7" width="21.90625" style="10" customWidth="1"/>
    <col min="8" max="11" width="21.90625" style="7" customWidth="1"/>
    <col min="12" max="15994" width="9.26953125" style="7"/>
    <col min="15995" max="16384" width="8.36328125" style="7" customWidth="1"/>
  </cols>
  <sheetData>
    <row r="1" spans="1:11" ht="24.15" customHeight="1" thickBot="1">
      <c r="A1" s="184" t="s">
        <v>123</v>
      </c>
      <c r="B1" s="185"/>
      <c r="C1" s="185"/>
      <c r="D1" s="185"/>
      <c r="E1" s="185"/>
      <c r="F1" s="185"/>
      <c r="G1" s="185"/>
    </row>
    <row r="2" spans="1:11" ht="27.5" customHeight="1">
      <c r="A2" s="28"/>
      <c r="B2" s="28"/>
      <c r="C2" s="28"/>
      <c r="D2" s="28"/>
      <c r="E2" s="28"/>
      <c r="F2" s="28"/>
      <c r="G2" s="41"/>
    </row>
    <row r="3" spans="1:11" s="22" customFormat="1" ht="15.4" customHeight="1" thickBot="1">
      <c r="A3" s="195"/>
      <c r="B3" s="195"/>
      <c r="C3" s="195"/>
      <c r="D3" s="195"/>
      <c r="E3" s="195"/>
      <c r="F3" s="195"/>
      <c r="G3" s="143" t="s">
        <v>54</v>
      </c>
      <c r="H3" s="147" t="s">
        <v>54</v>
      </c>
      <c r="I3" s="147" t="s">
        <v>54</v>
      </c>
      <c r="J3" s="147" t="s">
        <v>54</v>
      </c>
      <c r="K3" s="147" t="s">
        <v>54</v>
      </c>
    </row>
    <row r="4" spans="1:11" s="9" customFormat="1" ht="13">
      <c r="A4" s="196"/>
      <c r="B4" s="196"/>
      <c r="C4" s="196"/>
      <c r="D4" s="196"/>
      <c r="E4" s="196"/>
      <c r="F4" s="23" t="s">
        <v>114</v>
      </c>
      <c r="G4" s="171"/>
      <c r="H4" s="164">
        <v>1</v>
      </c>
      <c r="I4" s="166">
        <v>0.63</v>
      </c>
      <c r="J4" s="166">
        <v>0.63</v>
      </c>
      <c r="K4" s="164">
        <v>1</v>
      </c>
    </row>
    <row r="5" spans="1:11" s="9" customFormat="1" ht="13">
      <c r="A5" s="196"/>
      <c r="B5" s="196"/>
      <c r="C5" s="196"/>
      <c r="D5" s="196"/>
      <c r="E5" s="196"/>
      <c r="F5" s="24" t="s">
        <v>113</v>
      </c>
      <c r="G5" s="172"/>
      <c r="H5" s="164">
        <v>1</v>
      </c>
      <c r="I5" s="167">
        <v>0.11</v>
      </c>
      <c r="J5" s="167">
        <v>0.11</v>
      </c>
      <c r="K5" s="166">
        <v>0.56000000000000005</v>
      </c>
    </row>
    <row r="6" spans="1:11" s="9" customFormat="1" ht="13">
      <c r="A6" s="196"/>
      <c r="B6" s="196"/>
      <c r="C6" s="196"/>
      <c r="D6" s="196"/>
      <c r="E6" s="196"/>
      <c r="F6" s="24" t="s">
        <v>115</v>
      </c>
      <c r="G6" s="172"/>
      <c r="H6" s="164">
        <v>1</v>
      </c>
      <c r="I6" s="164">
        <v>1</v>
      </c>
      <c r="J6" s="164">
        <v>1</v>
      </c>
      <c r="K6" s="164">
        <v>1</v>
      </c>
    </row>
    <row r="7" spans="1:11" s="9" customFormat="1" ht="13">
      <c r="A7" s="196"/>
      <c r="B7" s="196"/>
      <c r="C7" s="196"/>
      <c r="D7" s="196"/>
      <c r="E7" s="196"/>
      <c r="F7" s="24" t="s">
        <v>116</v>
      </c>
      <c r="G7" s="172"/>
      <c r="H7" s="164">
        <v>1</v>
      </c>
      <c r="I7" s="164">
        <v>1</v>
      </c>
      <c r="J7" s="164">
        <v>1</v>
      </c>
      <c r="K7" s="164">
        <v>1</v>
      </c>
    </row>
    <row r="8" spans="1:11" s="9" customFormat="1" ht="13.5" thickBot="1">
      <c r="A8" s="196"/>
      <c r="B8" s="196"/>
      <c r="C8" s="196"/>
      <c r="D8" s="196"/>
      <c r="E8" s="196"/>
      <c r="F8" s="25" t="s">
        <v>117</v>
      </c>
      <c r="G8" s="173"/>
      <c r="H8" s="165">
        <v>1</v>
      </c>
      <c r="I8" s="168">
        <v>0.48</v>
      </c>
      <c r="J8" s="168">
        <v>0.48</v>
      </c>
      <c r="K8" s="170">
        <v>0.79</v>
      </c>
    </row>
    <row r="9" spans="1:11" s="9" customFormat="1" ht="6" customHeight="1" thickBot="1">
      <c r="A9" s="196"/>
      <c r="B9" s="196"/>
      <c r="C9" s="196"/>
      <c r="D9" s="196"/>
      <c r="E9" s="196"/>
      <c r="F9" s="26"/>
      <c r="G9" s="105"/>
    </row>
    <row r="10" spans="1:11" s="9" customFormat="1" ht="13.5" customHeight="1" thickBot="1">
      <c r="A10" s="196"/>
      <c r="B10" s="196"/>
      <c r="C10" s="196"/>
      <c r="D10" s="196"/>
      <c r="E10" s="196"/>
      <c r="F10" s="197" t="s">
        <v>3</v>
      </c>
      <c r="G10" s="198"/>
      <c r="H10" s="144" t="s">
        <v>100</v>
      </c>
      <c r="I10" s="144" t="s">
        <v>100</v>
      </c>
      <c r="J10" s="144" t="s">
        <v>100</v>
      </c>
      <c r="K10" s="144" t="s">
        <v>100</v>
      </c>
    </row>
    <row r="11" spans="1:11" s="9" customFormat="1" ht="20" customHeight="1">
      <c r="A11" s="196"/>
      <c r="B11" s="196"/>
      <c r="C11" s="196"/>
      <c r="D11" s="196"/>
      <c r="E11" s="196"/>
      <c r="F11" s="27" t="s">
        <v>118</v>
      </c>
      <c r="G11" s="88">
        <v>123</v>
      </c>
      <c r="H11" s="145">
        <v>1</v>
      </c>
      <c r="I11" s="145">
        <v>2</v>
      </c>
      <c r="J11" s="145">
        <v>3</v>
      </c>
      <c r="K11" s="145">
        <v>4</v>
      </c>
    </row>
    <row r="12" spans="1:11" s="9" customFormat="1" ht="20" customHeight="1">
      <c r="A12" s="196"/>
      <c r="B12" s="196"/>
      <c r="C12" s="196"/>
      <c r="D12" s="196"/>
      <c r="E12" s="196"/>
      <c r="F12" s="86" t="s">
        <v>87</v>
      </c>
      <c r="G12" s="93" t="s">
        <v>192</v>
      </c>
      <c r="H12" s="161" t="s">
        <v>32</v>
      </c>
      <c r="I12" s="161" t="s">
        <v>189</v>
      </c>
      <c r="J12" s="161" t="s">
        <v>190</v>
      </c>
      <c r="K12" s="161" t="s">
        <v>191</v>
      </c>
    </row>
    <row r="13" spans="1:11" s="160" customFormat="1" ht="20" customHeight="1" thickBot="1">
      <c r="A13" s="196"/>
      <c r="B13" s="196"/>
      <c r="C13" s="196"/>
      <c r="D13" s="196"/>
      <c r="E13" s="196"/>
      <c r="F13" s="86" t="s">
        <v>88</v>
      </c>
      <c r="G13" s="148" t="s">
        <v>193</v>
      </c>
      <c r="H13" s="162">
        <v>2016</v>
      </c>
      <c r="I13" s="162">
        <v>2015</v>
      </c>
      <c r="J13" s="162">
        <v>2014</v>
      </c>
      <c r="K13" s="162">
        <v>2013</v>
      </c>
    </row>
    <row r="14" spans="1:11" s="9" customFormat="1" ht="6" customHeight="1" thickBot="1">
      <c r="A14" s="199"/>
      <c r="B14" s="196"/>
      <c r="C14" s="196"/>
      <c r="D14" s="196"/>
      <c r="E14" s="196"/>
      <c r="F14" s="196"/>
      <c r="G14" s="42"/>
    </row>
    <row r="15" spans="1:11" s="8" customFormat="1" ht="27" customHeight="1" thickBot="1">
      <c r="A15" s="192" t="s">
        <v>55</v>
      </c>
      <c r="B15" s="193"/>
      <c r="C15" s="194"/>
      <c r="D15" s="95" t="s">
        <v>1</v>
      </c>
      <c r="E15" s="188" t="s">
        <v>53</v>
      </c>
      <c r="F15" s="189"/>
      <c r="G15" s="95" t="s">
        <v>40</v>
      </c>
      <c r="H15" s="146" t="s">
        <v>167</v>
      </c>
      <c r="I15" s="146" t="s">
        <v>167</v>
      </c>
      <c r="J15" s="146" t="s">
        <v>167</v>
      </c>
      <c r="K15" s="146" t="s">
        <v>167</v>
      </c>
    </row>
    <row r="16" spans="1:11" s="11" customFormat="1" ht="15" customHeight="1" thickBot="1">
      <c r="A16" s="204" t="s">
        <v>121</v>
      </c>
      <c r="B16" s="130" t="s">
        <v>24</v>
      </c>
      <c r="C16" s="169" t="s">
        <v>151</v>
      </c>
      <c r="D16" s="179">
        <v>1</v>
      </c>
      <c r="E16" s="186" t="s">
        <v>161</v>
      </c>
      <c r="F16" s="187"/>
      <c r="G16" s="174"/>
      <c r="H16" s="30" t="s">
        <v>0</v>
      </c>
      <c r="I16" s="30" t="s">
        <v>2</v>
      </c>
      <c r="J16" s="30" t="s">
        <v>0</v>
      </c>
      <c r="K16" s="30" t="s">
        <v>0</v>
      </c>
    </row>
    <row r="17" spans="1:11" s="11" customFormat="1" ht="15" customHeight="1" thickBot="1">
      <c r="A17" s="205"/>
      <c r="B17" s="130" t="s">
        <v>25</v>
      </c>
      <c r="C17" s="169" t="s">
        <v>152</v>
      </c>
      <c r="D17" s="180">
        <v>2</v>
      </c>
      <c r="E17" s="190" t="s">
        <v>161</v>
      </c>
      <c r="F17" s="191"/>
      <c r="G17" s="175"/>
      <c r="H17" s="98" t="s">
        <v>0</v>
      </c>
      <c r="I17" s="98" t="s">
        <v>2</v>
      </c>
      <c r="J17" s="98" t="s">
        <v>0</v>
      </c>
      <c r="K17" s="98" t="s">
        <v>2</v>
      </c>
    </row>
    <row r="18" spans="1:11" s="11" customFormat="1" ht="15" customHeight="1">
      <c r="A18" s="205"/>
      <c r="B18" s="208" t="s">
        <v>26</v>
      </c>
      <c r="C18" s="208" t="s">
        <v>153</v>
      </c>
      <c r="D18" s="180">
        <v>3</v>
      </c>
      <c r="E18" s="190" t="s">
        <v>161</v>
      </c>
      <c r="F18" s="191"/>
      <c r="G18" s="175"/>
      <c r="H18" s="98" t="s">
        <v>0</v>
      </c>
      <c r="I18" s="98" t="s">
        <v>2</v>
      </c>
      <c r="J18" s="98" t="s">
        <v>2</v>
      </c>
      <c r="K18" s="98" t="s">
        <v>38</v>
      </c>
    </row>
    <row r="19" spans="1:11" s="11" customFormat="1" ht="15" customHeight="1" thickBot="1">
      <c r="A19" s="205"/>
      <c r="B19" s="209"/>
      <c r="C19" s="209"/>
      <c r="D19" s="181">
        <v>4</v>
      </c>
      <c r="E19" s="182" t="s">
        <v>161</v>
      </c>
      <c r="F19" s="183"/>
      <c r="G19" s="175"/>
      <c r="H19" s="98" t="s">
        <v>0</v>
      </c>
      <c r="I19" s="98" t="s">
        <v>2</v>
      </c>
      <c r="J19" s="98" t="s">
        <v>0</v>
      </c>
      <c r="K19" s="98" t="s">
        <v>0</v>
      </c>
    </row>
    <row r="20" spans="1:11" s="11" customFormat="1" ht="15" customHeight="1" thickBot="1">
      <c r="A20" s="206" t="s">
        <v>120</v>
      </c>
      <c r="B20" s="130" t="s">
        <v>27</v>
      </c>
      <c r="C20" s="169" t="s">
        <v>154</v>
      </c>
      <c r="D20" s="179">
        <v>5</v>
      </c>
      <c r="E20" s="186" t="s">
        <v>161</v>
      </c>
      <c r="F20" s="187"/>
      <c r="G20" s="174"/>
      <c r="H20" s="30" t="s">
        <v>0</v>
      </c>
      <c r="I20" s="30" t="s">
        <v>2</v>
      </c>
      <c r="J20" s="30" t="s">
        <v>2</v>
      </c>
      <c r="K20" s="30" t="s">
        <v>2</v>
      </c>
    </row>
    <row r="21" spans="1:11" s="11" customFormat="1" ht="15" customHeight="1">
      <c r="A21" s="207"/>
      <c r="B21" s="208" t="s">
        <v>28</v>
      </c>
      <c r="C21" s="208" t="s">
        <v>155</v>
      </c>
      <c r="D21" s="180">
        <v>6</v>
      </c>
      <c r="E21" s="190" t="s">
        <v>161</v>
      </c>
      <c r="F21" s="191"/>
      <c r="G21" s="175"/>
      <c r="H21" s="98" t="s">
        <v>0</v>
      </c>
      <c r="I21" s="98" t="s">
        <v>2</v>
      </c>
      <c r="J21" s="98" t="s">
        <v>0</v>
      </c>
      <c r="K21" s="98" t="s">
        <v>38</v>
      </c>
    </row>
    <row r="22" spans="1:11" s="11" customFormat="1" ht="15" customHeight="1">
      <c r="A22" s="207"/>
      <c r="B22" s="210"/>
      <c r="C22" s="210"/>
      <c r="D22" s="180">
        <v>7</v>
      </c>
      <c r="E22" s="190" t="s">
        <v>161</v>
      </c>
      <c r="F22" s="191"/>
      <c r="G22" s="175"/>
      <c r="H22" s="98" t="s">
        <v>0</v>
      </c>
      <c r="I22" s="98" t="s">
        <v>2</v>
      </c>
      <c r="J22" s="98" t="s">
        <v>2</v>
      </c>
      <c r="K22" s="98" t="s">
        <v>0</v>
      </c>
    </row>
    <row r="23" spans="1:11" s="11" customFormat="1" ht="15" customHeight="1" thickBot="1">
      <c r="A23" s="207"/>
      <c r="B23" s="210"/>
      <c r="C23" s="210"/>
      <c r="D23" s="180">
        <v>8</v>
      </c>
      <c r="E23" s="190" t="s">
        <v>161</v>
      </c>
      <c r="F23" s="191"/>
      <c r="G23" s="175"/>
      <c r="H23" s="98" t="s">
        <v>0</v>
      </c>
      <c r="I23" s="98" t="s">
        <v>2</v>
      </c>
      <c r="J23" s="98" t="s">
        <v>2</v>
      </c>
      <c r="K23" s="98" t="s">
        <v>2</v>
      </c>
    </row>
    <row r="24" spans="1:11" s="11" customFormat="1" ht="15" customHeight="1" thickBot="1">
      <c r="A24" s="207"/>
      <c r="B24" s="130" t="s">
        <v>29</v>
      </c>
      <c r="C24" s="169" t="s">
        <v>156</v>
      </c>
      <c r="D24" s="181">
        <v>9</v>
      </c>
      <c r="E24" s="182" t="s">
        <v>161</v>
      </c>
      <c r="F24" s="183"/>
      <c r="G24" s="175"/>
      <c r="H24" s="98" t="s">
        <v>0</v>
      </c>
      <c r="I24" s="98" t="s">
        <v>2</v>
      </c>
      <c r="J24" s="98" t="s">
        <v>2</v>
      </c>
      <c r="K24" s="98" t="s">
        <v>38</v>
      </c>
    </row>
    <row r="25" spans="1:11" s="11" customFormat="1" ht="15" customHeight="1" thickBot="1">
      <c r="A25" s="200" t="s">
        <v>119</v>
      </c>
      <c r="B25" s="130" t="s">
        <v>30</v>
      </c>
      <c r="C25" s="169" t="s">
        <v>157</v>
      </c>
      <c r="D25" s="179">
        <v>10</v>
      </c>
      <c r="E25" s="186" t="s">
        <v>161</v>
      </c>
      <c r="F25" s="187"/>
      <c r="G25" s="176"/>
      <c r="H25" s="30" t="s">
        <v>0</v>
      </c>
      <c r="I25" s="30" t="s">
        <v>2</v>
      </c>
      <c r="J25" s="30" t="s">
        <v>0</v>
      </c>
      <c r="K25" s="30" t="s">
        <v>0</v>
      </c>
    </row>
    <row r="26" spans="1:11" s="11" customFormat="1" ht="15" customHeight="1" thickBot="1">
      <c r="A26" s="201"/>
      <c r="B26" s="152" t="s">
        <v>31</v>
      </c>
      <c r="C26" s="169" t="s">
        <v>158</v>
      </c>
      <c r="D26" s="181">
        <v>11</v>
      </c>
      <c r="E26" s="182" t="s">
        <v>161</v>
      </c>
      <c r="F26" s="183"/>
      <c r="G26" s="177"/>
      <c r="H26" s="98" t="s">
        <v>0</v>
      </c>
      <c r="I26" s="98" t="s">
        <v>2</v>
      </c>
      <c r="J26" s="98" t="s">
        <v>0</v>
      </c>
      <c r="K26" s="98" t="s">
        <v>2</v>
      </c>
    </row>
    <row r="27" spans="1:11" s="11" customFormat="1" ht="15" customHeight="1" thickBot="1">
      <c r="A27" s="202" t="s">
        <v>122</v>
      </c>
      <c r="B27" s="152" t="s">
        <v>32</v>
      </c>
      <c r="C27" s="169" t="s">
        <v>159</v>
      </c>
      <c r="D27" s="179">
        <v>12</v>
      </c>
      <c r="E27" s="211" t="s">
        <v>161</v>
      </c>
      <c r="F27" s="212"/>
      <c r="G27" s="176"/>
      <c r="H27" s="30" t="s">
        <v>0</v>
      </c>
      <c r="I27" s="30" t="s">
        <v>2</v>
      </c>
      <c r="J27" s="30" t="s">
        <v>0</v>
      </c>
      <c r="K27" s="30" t="s">
        <v>38</v>
      </c>
    </row>
    <row r="28" spans="1:11" s="11" customFormat="1" ht="15" customHeight="1" thickBot="1">
      <c r="A28" s="203"/>
      <c r="B28" s="131" t="s">
        <v>33</v>
      </c>
      <c r="C28" s="131" t="s">
        <v>160</v>
      </c>
      <c r="D28" s="181">
        <v>13</v>
      </c>
      <c r="E28" s="182" t="s">
        <v>161</v>
      </c>
      <c r="F28" s="183"/>
      <c r="G28" s="178"/>
      <c r="H28" s="97" t="s">
        <v>0</v>
      </c>
      <c r="I28" s="97" t="s">
        <v>2</v>
      </c>
      <c r="J28" s="97" t="s">
        <v>0</v>
      </c>
      <c r="K28" s="97" t="s">
        <v>0</v>
      </c>
    </row>
    <row r="29" spans="1:11">
      <c r="C29" s="157"/>
      <c r="G29" s="156"/>
    </row>
    <row r="30" spans="1:11">
      <c r="C30" s="157"/>
      <c r="G30" s="156"/>
    </row>
    <row r="31" spans="1:11">
      <c r="C31" s="157"/>
      <c r="G31" s="156"/>
    </row>
    <row r="32" spans="1:11">
      <c r="C32" s="157"/>
      <c r="G32" s="156"/>
    </row>
    <row r="33" spans="3:7">
      <c r="C33" s="157"/>
      <c r="G33" s="156"/>
    </row>
    <row r="34" spans="3:7">
      <c r="C34" s="157"/>
      <c r="G34" s="156"/>
    </row>
    <row r="35" spans="3:7">
      <c r="C35" s="157"/>
      <c r="G35" s="156"/>
    </row>
    <row r="36" spans="3:7">
      <c r="C36" s="157"/>
      <c r="G36" s="156"/>
    </row>
    <row r="37" spans="3:7">
      <c r="C37" s="157"/>
      <c r="G37" s="156"/>
    </row>
    <row r="38" spans="3:7">
      <c r="C38" s="157"/>
      <c r="G38" s="156"/>
    </row>
    <row r="39" spans="3:7">
      <c r="C39" s="157"/>
      <c r="G39" s="156"/>
    </row>
    <row r="40" spans="3:7">
      <c r="C40" s="157"/>
      <c r="G40" s="156"/>
    </row>
    <row r="41" spans="3:7">
      <c r="C41" s="157"/>
      <c r="G41" s="156"/>
    </row>
    <row r="42" spans="3:7">
      <c r="C42" s="157"/>
      <c r="G42" s="156"/>
    </row>
    <row r="43" spans="3:7">
      <c r="C43" s="157"/>
      <c r="G43" s="156"/>
    </row>
    <row r="44" spans="3:7">
      <c r="C44" s="157"/>
      <c r="G44" s="156"/>
    </row>
    <row r="45" spans="3:7">
      <c r="C45" s="157"/>
      <c r="G45" s="156"/>
    </row>
    <row r="46" spans="3:7">
      <c r="C46" s="157"/>
      <c r="G46" s="156"/>
    </row>
    <row r="47" spans="3:7">
      <c r="C47" s="157"/>
      <c r="G47" s="156"/>
    </row>
    <row r="48" spans="3:7">
      <c r="C48" s="157"/>
      <c r="G48" s="156"/>
    </row>
    <row r="49" spans="3:7">
      <c r="C49" s="157"/>
      <c r="G49" s="156"/>
    </row>
    <row r="50" spans="3:7">
      <c r="C50" s="157"/>
      <c r="G50" s="156"/>
    </row>
    <row r="51" spans="3:7">
      <c r="C51" s="157"/>
      <c r="G51" s="156"/>
    </row>
    <row r="52" spans="3:7"/>
    <row r="53" spans="3:7"/>
    <row r="54" spans="3:7"/>
    <row r="55" spans="3:7"/>
    <row r="56" spans="3:7"/>
    <row r="57" spans="3:7"/>
    <row r="58" spans="3:7"/>
    <row r="59" spans="3:7"/>
    <row r="60" spans="3:7"/>
    <row r="61" spans="3:7" hidden="1"/>
    <row r="62" spans="3:7" hidden="1"/>
    <row r="63" spans="3:7" hidden="1"/>
    <row r="64" spans="3:7" hidden="1"/>
    <row r="65" hidden="1"/>
    <row r="66" hidden="1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</sheetData>
  <sheetProtection algorithmName="SHA-512" hashValue="XIoInJk0W/a015c0DsPg/z3Ut0gUMjJpm+L6HJCSWCftr/ZFupSnH4Xd8ikVX/Iz1eVnBMOz1Lmn8q9M8Y0Mzg==" saltValue="Op6iu6aV1ioqtegZiCEgvA==" spinCount="100000" sheet="1" objects="1" scenarios="1" formatCells="0"/>
  <mergeCells count="28">
    <mergeCell ref="E22:F22"/>
    <mergeCell ref="E21:F21"/>
    <mergeCell ref="E24:F24"/>
    <mergeCell ref="E23:F23"/>
    <mergeCell ref="E27:F27"/>
    <mergeCell ref="E25:F25"/>
    <mergeCell ref="E26:F26"/>
    <mergeCell ref="A20:A24"/>
    <mergeCell ref="C18:C19"/>
    <mergeCell ref="C21:C23"/>
    <mergeCell ref="B18:B19"/>
    <mergeCell ref="B21:B23"/>
    <mergeCell ref="E28:F28"/>
    <mergeCell ref="A1:G1"/>
    <mergeCell ref="E16:F16"/>
    <mergeCell ref="E15:F15"/>
    <mergeCell ref="E17:F17"/>
    <mergeCell ref="E19:F19"/>
    <mergeCell ref="A15:C15"/>
    <mergeCell ref="A3:F3"/>
    <mergeCell ref="A4:E13"/>
    <mergeCell ref="F10:G10"/>
    <mergeCell ref="A14:F14"/>
    <mergeCell ref="E18:F18"/>
    <mergeCell ref="A25:A26"/>
    <mergeCell ref="A27:A28"/>
    <mergeCell ref="E20:F20"/>
    <mergeCell ref="A16:A19"/>
  </mergeCells>
  <phoneticPr fontId="5" type="noConversion"/>
  <dataValidations count="2">
    <dataValidation type="list" allowBlank="1" showInputMessage="1" showErrorMessage="1" errorTitle="Invalid Input" error="The value of input must be one of given values." sqref="G16:G139">
      <formula1>INDIRECT("item"&amp;$D16)</formula1>
    </dataValidation>
    <dataValidation type="list" allowBlank="1" showInputMessage="1" showErrorMessage="1" errorTitle="Invalid Input" error="The value of input must be one of given values." sqref="G13">
      <formula1>INDIRECT("listOfYear")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99" r:id="rId4" name="CommandButton5">
          <controlPr defaultSize="0" autoFill="0" autoLine="0" r:id="rId5">
            <anchor>
              <from>
                <xdr:col>6</xdr:col>
                <xdr:colOff>1073150</xdr:colOff>
                <xdr:row>1</xdr:row>
                <xdr:rowOff>25400</xdr:rowOff>
              </from>
              <to>
                <xdr:col>6</xdr:col>
                <xdr:colOff>1441450</xdr:colOff>
                <xdr:row>1</xdr:row>
                <xdr:rowOff>311150</xdr:rowOff>
              </to>
            </anchor>
          </controlPr>
        </control>
      </mc:Choice>
      <mc:Fallback>
        <control shapeId="3199" r:id="rId4" name="CommandButton5"/>
      </mc:Fallback>
    </mc:AlternateContent>
    <mc:AlternateContent xmlns:mc="http://schemas.openxmlformats.org/markup-compatibility/2006">
      <mc:Choice Requires="x14">
        <control shapeId="3153" r:id="rId6" name="CommandButton4">
          <controlPr defaultSize="0" autoFill="0" autoLine="0" r:id="rId7">
            <anchor>
              <from>
                <xdr:col>5</xdr:col>
                <xdr:colOff>184150</xdr:colOff>
                <xdr:row>1</xdr:row>
                <xdr:rowOff>25400</xdr:rowOff>
              </from>
              <to>
                <xdr:col>5</xdr:col>
                <xdr:colOff>1517650</xdr:colOff>
                <xdr:row>1</xdr:row>
                <xdr:rowOff>311150</xdr:rowOff>
              </to>
            </anchor>
          </controlPr>
        </control>
      </mc:Choice>
      <mc:Fallback>
        <control shapeId="3153" r:id="rId6" name="CommandButton4"/>
      </mc:Fallback>
    </mc:AlternateContent>
    <mc:AlternateContent xmlns:mc="http://schemas.openxmlformats.org/markup-compatibility/2006">
      <mc:Choice Requires="x14">
        <control shapeId="3152" r:id="rId8" name="CommandButton3">
          <controlPr defaultSize="0" autoFill="0" autoLine="0" r:id="rId9">
            <anchor>
              <from>
                <xdr:col>4</xdr:col>
                <xdr:colOff>876300</xdr:colOff>
                <xdr:row>1</xdr:row>
                <xdr:rowOff>25400</xdr:rowOff>
              </from>
              <to>
                <xdr:col>5</xdr:col>
                <xdr:colOff>88900</xdr:colOff>
                <xdr:row>1</xdr:row>
                <xdr:rowOff>311150</xdr:rowOff>
              </to>
            </anchor>
          </controlPr>
        </control>
      </mc:Choice>
      <mc:Fallback>
        <control shapeId="3152" r:id="rId8" name="CommandButton3"/>
      </mc:Fallback>
    </mc:AlternateContent>
    <mc:AlternateContent xmlns:mc="http://schemas.openxmlformats.org/markup-compatibility/2006">
      <mc:Choice Requires="x14">
        <control shapeId="3151" r:id="rId10" name="CommandButton2">
          <controlPr defaultSize="0" autoFill="0" autoLine="0" r:id="rId11">
            <anchor>
              <from>
                <xdr:col>3</xdr:col>
                <xdr:colOff>25400</xdr:colOff>
                <xdr:row>1</xdr:row>
                <xdr:rowOff>25400</xdr:rowOff>
              </from>
              <to>
                <xdr:col>4</xdr:col>
                <xdr:colOff>781050</xdr:colOff>
                <xdr:row>1</xdr:row>
                <xdr:rowOff>311150</xdr:rowOff>
              </to>
            </anchor>
          </controlPr>
        </control>
      </mc:Choice>
      <mc:Fallback>
        <control shapeId="3151" r:id="rId10" name="CommandButton2"/>
      </mc:Fallback>
    </mc:AlternateContent>
    <mc:AlternateContent xmlns:mc="http://schemas.openxmlformats.org/markup-compatibility/2006">
      <mc:Choice Requires="x14">
        <control shapeId="3149" r:id="rId12" name="CommandButton1">
          <controlPr defaultSize="0" autoFill="0" autoLine="0" r:id="rId13">
            <anchor>
              <from>
                <xdr:col>0</xdr:col>
                <xdr:colOff>31750</xdr:colOff>
                <xdr:row>1</xdr:row>
                <xdr:rowOff>25400</xdr:rowOff>
              </from>
              <to>
                <xdr:col>2</xdr:col>
                <xdr:colOff>755650</xdr:colOff>
                <xdr:row>1</xdr:row>
                <xdr:rowOff>311150</xdr:rowOff>
              </to>
            </anchor>
          </controlPr>
        </control>
      </mc:Choice>
      <mc:Fallback>
        <control shapeId="3149" r:id="rId12" name="CommandButton1"/>
      </mc:Fallback>
    </mc:AlternateContent>
    <mc:AlternateContent xmlns:mc="http://schemas.openxmlformats.org/markup-compatibility/2006">
      <mc:Choice Requires="x14">
        <control shapeId="3178" r:id="rId14" name="ComboBox1">
          <controlPr defaultSize="0" autoLine="0" r:id="rId15">
            <anchor>
              <from>
                <xdr:col>5</xdr:col>
                <xdr:colOff>1606550</xdr:colOff>
                <xdr:row>1</xdr:row>
                <xdr:rowOff>25400</xdr:rowOff>
              </from>
              <to>
                <xdr:col>6</xdr:col>
                <xdr:colOff>1047750</xdr:colOff>
                <xdr:row>1</xdr:row>
                <xdr:rowOff>311150</xdr:rowOff>
              </to>
            </anchor>
          </controlPr>
        </control>
      </mc:Choice>
      <mc:Fallback>
        <control shapeId="3178" r:id="rId1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75"/>
  <sheetViews>
    <sheetView zoomScale="80" zoomScaleNormal="80" workbookViewId="0">
      <selection activeCell="N3" sqref="N3"/>
    </sheetView>
  </sheetViews>
  <sheetFormatPr defaultColWidth="8.7265625" defaultRowHeight="12.9" customHeight="1"/>
  <cols>
    <col min="1" max="1" width="17.1796875" style="83" customWidth="1"/>
    <col min="2" max="11" width="13.36328125" style="12" bestFit="1" customWidth="1"/>
    <col min="12" max="14" width="13.36328125" style="13" bestFit="1" customWidth="1"/>
    <col min="15" max="16384" width="8.7265625" style="13"/>
  </cols>
  <sheetData>
    <row r="1" spans="1:14" s="92" customFormat="1" ht="12.9" customHeight="1">
      <c r="A1" s="90" t="s">
        <v>93</v>
      </c>
      <c r="B1" s="91" t="s">
        <v>128</v>
      </c>
      <c r="C1" s="91" t="s">
        <v>129</v>
      </c>
      <c r="D1" s="91" t="s">
        <v>130</v>
      </c>
      <c r="E1" s="91" t="s">
        <v>131</v>
      </c>
      <c r="F1" s="91" t="s">
        <v>132</v>
      </c>
      <c r="G1" s="91" t="s">
        <v>133</v>
      </c>
      <c r="H1" s="91" t="s">
        <v>134</v>
      </c>
      <c r="I1" s="91" t="s">
        <v>135</v>
      </c>
      <c r="J1" s="91" t="s">
        <v>136</v>
      </c>
      <c r="K1" s="91" t="s">
        <v>127</v>
      </c>
      <c r="L1" s="91" t="s">
        <v>124</v>
      </c>
      <c r="M1" s="91" t="s">
        <v>125</v>
      </c>
      <c r="N1" s="91" t="s">
        <v>126</v>
      </c>
    </row>
    <row r="2" spans="1:14" ht="12.9" customHeight="1"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</row>
    <row r="3" spans="1:14" s="21" customFormat="1" ht="12.9" customHeight="1">
      <c r="A3" s="84"/>
      <c r="B3" s="19"/>
      <c r="C3" s="19"/>
      <c r="D3" s="19" t="s">
        <v>39</v>
      </c>
      <c r="E3" s="19"/>
      <c r="F3" s="19" t="s">
        <v>39</v>
      </c>
      <c r="G3" s="19"/>
      <c r="H3" s="19" t="s">
        <v>39</v>
      </c>
      <c r="I3" s="19" t="s">
        <v>39</v>
      </c>
      <c r="J3" s="19" t="s">
        <v>39</v>
      </c>
      <c r="K3" s="20"/>
      <c r="L3" s="20"/>
      <c r="M3" s="20"/>
      <c r="N3" s="20"/>
    </row>
    <row r="4" spans="1:14" s="16" customFormat="1" ht="12.9" customHeight="1">
      <c r="A4" s="159" t="str">
        <f ca="1">TEXT(YEAR(NOW()),0)</f>
        <v>2016</v>
      </c>
      <c r="B4" s="14" t="s">
        <v>0</v>
      </c>
      <c r="C4" s="14" t="s">
        <v>0</v>
      </c>
      <c r="D4" s="14" t="s">
        <v>0</v>
      </c>
      <c r="E4" s="14" t="s">
        <v>0</v>
      </c>
      <c r="F4" s="14" t="s">
        <v>0</v>
      </c>
      <c r="G4" s="14" t="s">
        <v>0</v>
      </c>
      <c r="H4" s="14" t="s">
        <v>0</v>
      </c>
      <c r="I4" s="14" t="s">
        <v>0</v>
      </c>
      <c r="J4" s="14" t="s">
        <v>0</v>
      </c>
      <c r="K4" s="14" t="s">
        <v>0</v>
      </c>
      <c r="L4" s="14" t="s">
        <v>0</v>
      </c>
      <c r="M4" s="14" t="s">
        <v>0</v>
      </c>
      <c r="N4" s="14" t="s">
        <v>0</v>
      </c>
    </row>
    <row r="5" spans="1:14" s="16" customFormat="1" ht="26">
      <c r="A5" s="159" t="str">
        <f ca="1">TEXT(A4-1,0)</f>
        <v>2015</v>
      </c>
      <c r="B5" s="17" t="s">
        <v>2</v>
      </c>
      <c r="C5" s="17" t="s">
        <v>2</v>
      </c>
      <c r="D5" s="17" t="s">
        <v>2</v>
      </c>
      <c r="E5" s="17" t="s">
        <v>2</v>
      </c>
      <c r="F5" s="17" t="s">
        <v>2</v>
      </c>
      <c r="G5" s="17" t="s">
        <v>2</v>
      </c>
      <c r="H5" s="17" t="s">
        <v>2</v>
      </c>
      <c r="I5" s="17" t="s">
        <v>2</v>
      </c>
      <c r="J5" s="17" t="s">
        <v>2</v>
      </c>
      <c r="K5" s="17" t="s">
        <v>2</v>
      </c>
      <c r="L5" s="17" t="s">
        <v>2</v>
      </c>
      <c r="M5" s="17" t="s">
        <v>2</v>
      </c>
      <c r="N5" s="17" t="s">
        <v>2</v>
      </c>
    </row>
    <row r="6" spans="1:14" s="16" customFormat="1" ht="26.15" customHeight="1">
      <c r="A6" s="159" t="str">
        <f t="shared" ref="A6:A59" ca="1" si="0">TEXT(A5-1,0)</f>
        <v>2014</v>
      </c>
      <c r="B6" s="18" t="s">
        <v>38</v>
      </c>
      <c r="C6" s="18" t="s">
        <v>38</v>
      </c>
      <c r="D6" s="18" t="s">
        <v>38</v>
      </c>
      <c r="E6" s="18" t="s">
        <v>38</v>
      </c>
      <c r="F6" s="18" t="s">
        <v>38</v>
      </c>
      <c r="G6" s="18" t="s">
        <v>38</v>
      </c>
      <c r="H6" s="18" t="s">
        <v>38</v>
      </c>
      <c r="I6" s="18" t="s">
        <v>38</v>
      </c>
      <c r="J6" s="18" t="s">
        <v>38</v>
      </c>
      <c r="K6" s="18" t="s">
        <v>38</v>
      </c>
      <c r="L6" s="18" t="s">
        <v>38</v>
      </c>
      <c r="M6" s="18" t="s">
        <v>38</v>
      </c>
      <c r="N6" s="18" t="s">
        <v>38</v>
      </c>
    </row>
    <row r="7" spans="1:14" s="16" customFormat="1" ht="12.9" customHeight="1">
      <c r="A7" s="159" t="str">
        <f t="shared" ca="1" si="0"/>
        <v>2013</v>
      </c>
      <c r="B7" s="18"/>
      <c r="C7" s="18"/>
      <c r="D7" s="18"/>
      <c r="E7" s="17"/>
      <c r="F7" s="17"/>
      <c r="G7" s="18"/>
      <c r="H7" s="18"/>
      <c r="I7" s="18"/>
      <c r="J7" s="18"/>
      <c r="K7" s="18"/>
    </row>
    <row r="8" spans="1:14" s="16" customFormat="1" ht="12.9" customHeight="1">
      <c r="A8" s="159" t="str">
        <f t="shared" ca="1" si="0"/>
        <v>2012</v>
      </c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4" s="16" customFormat="1" ht="12.9" customHeight="1">
      <c r="A9" s="159" t="str">
        <f t="shared" ca="1" si="0"/>
        <v>2011</v>
      </c>
      <c r="B9" s="18"/>
      <c r="C9" s="18"/>
      <c r="D9" s="18"/>
      <c r="E9" s="18"/>
      <c r="F9" s="18"/>
      <c r="G9" s="18"/>
      <c r="H9" s="18"/>
      <c r="I9" s="18"/>
      <c r="J9" s="18"/>
      <c r="K9" s="18"/>
    </row>
    <row r="10" spans="1:14" s="16" customFormat="1" ht="12.9" customHeight="1">
      <c r="A10" s="159" t="str">
        <f t="shared" ca="1" si="0"/>
        <v>2010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</row>
    <row r="11" spans="1:14" s="16" customFormat="1" ht="12.9" customHeight="1">
      <c r="A11" s="159" t="str">
        <f t="shared" ca="1" si="0"/>
        <v>2009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</row>
    <row r="12" spans="1:14" s="16" customFormat="1" ht="12.9" customHeight="1">
      <c r="A12" s="159" t="str">
        <f t="shared" ca="1" si="0"/>
        <v>2008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4" s="16" customFormat="1" ht="12.9" customHeight="1">
      <c r="A13" s="159" t="str">
        <f t="shared" ca="1" si="0"/>
        <v>2007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</row>
    <row r="14" spans="1:14" s="16" customFormat="1" ht="12.9" customHeight="1">
      <c r="A14" s="159" t="str">
        <f t="shared" ca="1" si="0"/>
        <v>2006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4" s="16" customFormat="1" ht="12.9" customHeight="1">
      <c r="A15" s="159" t="str">
        <f t="shared" ca="1" si="0"/>
        <v>2005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</row>
    <row r="16" spans="1:14" s="16" customFormat="1" ht="12.9" customHeight="1">
      <c r="A16" s="159" t="str">
        <f t="shared" ca="1" si="0"/>
        <v>2004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</row>
    <row r="17" spans="1:11" s="16" customFormat="1" ht="12.9" customHeight="1">
      <c r="A17" s="159" t="str">
        <f t="shared" ca="1" si="0"/>
        <v>2003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1:11" s="16" customFormat="1" ht="12.9" customHeight="1">
      <c r="A18" s="159" t="str">
        <f t="shared" ca="1" si="0"/>
        <v>2002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1:11" s="16" customFormat="1" ht="12.9" customHeight="1">
      <c r="A19" s="159" t="str">
        <f t="shared" ca="1" si="0"/>
        <v>2001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</row>
    <row r="20" spans="1:11" s="16" customFormat="1" ht="12.9" customHeight="1">
      <c r="A20" s="159" t="str">
        <f t="shared" ca="1" si="0"/>
        <v>2000</v>
      </c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1:11" s="16" customFormat="1" ht="12.9" customHeight="1">
      <c r="A21" s="159" t="str">
        <f t="shared" ca="1" si="0"/>
        <v>1999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spans="1:11" s="16" customFormat="1" ht="12.9" customHeight="1">
      <c r="A22" s="159" t="str">
        <f t="shared" ca="1" si="0"/>
        <v>1998</v>
      </c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spans="1:11" s="16" customFormat="1" ht="12.9" customHeight="1">
      <c r="A23" s="159" t="str">
        <f t="shared" ca="1" si="0"/>
        <v>1997</v>
      </c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spans="1:11" s="16" customFormat="1" ht="12.9" customHeight="1">
      <c r="A24" s="159" t="str">
        <f t="shared" ca="1" si="0"/>
        <v>1996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</row>
    <row r="25" spans="1:11" s="16" customFormat="1" ht="12.9" customHeight="1">
      <c r="A25" s="159" t="str">
        <f t="shared" ca="1" si="0"/>
        <v>1995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</row>
    <row r="26" spans="1:11" s="16" customFormat="1" ht="12.9" customHeight="1">
      <c r="A26" s="159" t="str">
        <f t="shared" ca="1" si="0"/>
        <v>1994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</row>
    <row r="27" spans="1:11" s="16" customFormat="1" ht="12.9" customHeight="1">
      <c r="A27" s="159" t="str">
        <f t="shared" ca="1" si="0"/>
        <v>1993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 s="16" customFormat="1" ht="12.9" customHeight="1">
      <c r="A28" s="159" t="str">
        <f t="shared" ca="1" si="0"/>
        <v>1992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</row>
    <row r="29" spans="1:11" s="16" customFormat="1" ht="12.9" customHeight="1">
      <c r="A29" s="159" t="str">
        <f t="shared" ca="1" si="0"/>
        <v>1991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</row>
    <row r="30" spans="1:11" s="16" customFormat="1" ht="12.9" customHeight="1">
      <c r="A30" s="159" t="str">
        <f t="shared" ca="1" si="0"/>
        <v>1990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</row>
    <row r="31" spans="1:11" s="16" customFormat="1" ht="12.9" customHeight="1">
      <c r="A31" s="159" t="str">
        <f t="shared" ca="1" si="0"/>
        <v>1989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spans="1:11" s="16" customFormat="1" ht="12.9" customHeight="1">
      <c r="A32" s="159" t="str">
        <f t="shared" ca="1" si="0"/>
        <v>1988</v>
      </c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s="16" customFormat="1" ht="12.9" customHeight="1">
      <c r="A33" s="159" t="str">
        <f t="shared" ca="1" si="0"/>
        <v>1987</v>
      </c>
      <c r="B33" s="15"/>
      <c r="C33" s="15"/>
      <c r="D33" s="15"/>
      <c r="E33" s="15"/>
      <c r="F33" s="15"/>
      <c r="G33" s="15"/>
      <c r="H33" s="15"/>
      <c r="I33" s="15"/>
      <c r="J33" s="15"/>
      <c r="K33" s="15"/>
    </row>
    <row r="34" spans="1:11" s="16" customFormat="1" ht="12.9" customHeight="1">
      <c r="A34" s="159" t="str">
        <f t="shared" ca="1" si="0"/>
        <v>1986</v>
      </c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s="16" customFormat="1" ht="12.9" customHeight="1">
      <c r="A35" s="159" t="str">
        <f t="shared" ca="1" si="0"/>
        <v>1985</v>
      </c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s="16" customFormat="1" ht="12.9" customHeight="1">
      <c r="A36" s="159" t="str">
        <f t="shared" ca="1" si="0"/>
        <v>1984</v>
      </c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s="16" customFormat="1" ht="12.9" customHeight="1">
      <c r="A37" s="159" t="str">
        <f t="shared" ca="1" si="0"/>
        <v>1983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s="16" customFormat="1" ht="12.9" customHeight="1">
      <c r="A38" s="159" t="str">
        <f t="shared" ca="1" si="0"/>
        <v>1982</v>
      </c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s="16" customFormat="1" ht="12.9" customHeight="1">
      <c r="A39" s="159" t="str">
        <f t="shared" ca="1" si="0"/>
        <v>1981</v>
      </c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s="16" customFormat="1" ht="12.9" customHeight="1">
      <c r="A40" s="159" t="str">
        <f t="shared" ca="1" si="0"/>
        <v>1980</v>
      </c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s="16" customFormat="1" ht="12.9" customHeight="1">
      <c r="A41" s="159" t="str">
        <f t="shared" ca="1" si="0"/>
        <v>1979</v>
      </c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s="16" customFormat="1" ht="12.9" customHeight="1">
      <c r="A42" s="159" t="str">
        <f t="shared" ca="1" si="0"/>
        <v>1978</v>
      </c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s="16" customFormat="1" ht="12.9" customHeight="1">
      <c r="A43" s="159" t="str">
        <f t="shared" ca="1" si="0"/>
        <v>1977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</row>
    <row r="44" spans="1:11" s="16" customFormat="1" ht="12.9" customHeight="1">
      <c r="A44" s="159" t="str">
        <f t="shared" ca="1" si="0"/>
        <v>1976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s="16" customFormat="1" ht="12.9" customHeight="1">
      <c r="A45" s="159" t="str">
        <f t="shared" ca="1" si="0"/>
        <v>1975</v>
      </c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spans="1:11" s="16" customFormat="1" ht="12.9" customHeight="1">
      <c r="A46" s="159" t="str">
        <f t="shared" ca="1" si="0"/>
        <v>1974</v>
      </c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spans="1:11" s="16" customFormat="1" ht="12.9" customHeight="1">
      <c r="A47" s="159" t="str">
        <f t="shared" ca="1" si="0"/>
        <v>1973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spans="1:11" s="16" customFormat="1" ht="12.9" customHeight="1">
      <c r="A48" s="159" t="str">
        <f t="shared" ca="1" si="0"/>
        <v>1972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spans="1:11" s="16" customFormat="1" ht="12.9" customHeight="1">
      <c r="A49" s="159" t="str">
        <f t="shared" ca="1" si="0"/>
        <v>1971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</row>
    <row r="50" spans="1:11" s="16" customFormat="1" ht="12.9" customHeight="1">
      <c r="A50" s="159" t="str">
        <f t="shared" ca="1" si="0"/>
        <v>1970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s="16" customFormat="1" ht="12.9" customHeight="1">
      <c r="A51" s="159" t="str">
        <f t="shared" ca="1" si="0"/>
        <v>1969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</row>
    <row r="52" spans="1:11" s="16" customFormat="1" ht="12.9" customHeight="1">
      <c r="A52" s="159" t="str">
        <f t="shared" ca="1" si="0"/>
        <v>1968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</row>
    <row r="53" spans="1:11" s="16" customFormat="1" ht="12.9" customHeight="1">
      <c r="A53" s="159" t="str">
        <f t="shared" ca="1" si="0"/>
        <v>1967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</row>
    <row r="54" spans="1:11" s="16" customFormat="1" ht="12.9" customHeight="1">
      <c r="A54" s="159" t="str">
        <f t="shared" ca="1" si="0"/>
        <v>1966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</row>
    <row r="55" spans="1:11" s="16" customFormat="1" ht="12.9" customHeight="1">
      <c r="A55" s="159" t="str">
        <f t="shared" ca="1" si="0"/>
        <v>1965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</row>
    <row r="56" spans="1:11" s="16" customFormat="1" ht="12.9" customHeight="1">
      <c r="A56" s="159" t="str">
        <f t="shared" ca="1" si="0"/>
        <v>1964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</row>
    <row r="57" spans="1:11" s="16" customFormat="1" ht="12.9" customHeight="1">
      <c r="A57" s="159" t="str">
        <f t="shared" ca="1" si="0"/>
        <v>1963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</row>
    <row r="58" spans="1:11" s="16" customFormat="1" ht="12.9" customHeight="1">
      <c r="A58" s="159" t="str">
        <f t="shared" ca="1" si="0"/>
        <v>1962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</row>
    <row r="59" spans="1:11" s="16" customFormat="1" ht="12.9" customHeight="1">
      <c r="A59" s="159" t="str">
        <f t="shared" ca="1" si="0"/>
        <v>1961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</row>
    <row r="60" spans="1:11" s="16" customFormat="1" ht="12.9" customHeight="1">
      <c r="A60" s="8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s="16" customFormat="1" ht="12.9" customHeight="1">
      <c r="A61" s="8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s="16" customFormat="1" ht="12.9" customHeight="1">
      <c r="A62" s="8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s="16" customFormat="1" ht="12.9" customHeight="1">
      <c r="A63" s="8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s="16" customFormat="1" ht="12.9" customHeight="1">
      <c r="A64" s="85"/>
      <c r="B64" s="15"/>
      <c r="C64" s="15"/>
      <c r="D64" s="15"/>
      <c r="E64" s="15"/>
      <c r="F64" s="15"/>
      <c r="G64" s="15"/>
      <c r="H64" s="15"/>
      <c r="I64" s="15"/>
      <c r="J64" s="15"/>
      <c r="K64" s="15"/>
    </row>
    <row r="65" spans="1:11" s="16" customFormat="1" ht="12.9" customHeight="1">
      <c r="A65" s="85"/>
      <c r="B65" s="15"/>
      <c r="C65" s="15"/>
      <c r="D65" s="15"/>
      <c r="E65" s="15"/>
      <c r="F65" s="15"/>
      <c r="G65" s="15"/>
      <c r="H65" s="15"/>
      <c r="I65" s="15"/>
      <c r="J65" s="15"/>
      <c r="K65" s="15"/>
    </row>
    <row r="66" spans="1:11" s="16" customFormat="1" ht="12.9" customHeight="1">
      <c r="A66" s="85"/>
      <c r="B66" s="15"/>
      <c r="C66" s="15"/>
      <c r="D66" s="15"/>
      <c r="E66" s="15"/>
      <c r="F66" s="15"/>
      <c r="G66" s="15"/>
      <c r="H66" s="15"/>
      <c r="I66" s="15"/>
      <c r="J66" s="15"/>
      <c r="K66" s="15"/>
    </row>
    <row r="67" spans="1:11" s="16" customFormat="1" ht="12.9" customHeight="1">
      <c r="A67" s="85"/>
      <c r="B67" s="15"/>
      <c r="C67" s="15"/>
      <c r="D67" s="15"/>
      <c r="E67" s="15"/>
      <c r="F67" s="15"/>
      <c r="G67" s="15"/>
      <c r="H67" s="15"/>
      <c r="I67" s="15"/>
      <c r="J67" s="15"/>
      <c r="K67" s="15"/>
    </row>
    <row r="68" spans="1:11" s="16" customFormat="1" ht="12.9" customHeight="1">
      <c r="A68" s="85"/>
      <c r="B68" s="15"/>
      <c r="C68" s="15"/>
      <c r="D68" s="15"/>
      <c r="E68" s="15"/>
      <c r="F68" s="15"/>
      <c r="G68" s="15"/>
      <c r="H68" s="15"/>
      <c r="I68" s="15"/>
      <c r="J68" s="15"/>
      <c r="K68" s="15"/>
    </row>
    <row r="69" spans="1:11" s="16" customFormat="1" ht="12.9" customHeight="1">
      <c r="A69" s="85"/>
      <c r="B69" s="15"/>
      <c r="C69" s="15"/>
      <c r="D69" s="15"/>
      <c r="E69" s="15"/>
      <c r="F69" s="15"/>
      <c r="G69" s="15"/>
      <c r="H69" s="15"/>
      <c r="I69" s="15"/>
      <c r="J69" s="15"/>
      <c r="K69" s="15"/>
    </row>
    <row r="70" spans="1:11" s="16" customFormat="1" ht="12.9" customHeight="1">
      <c r="A70" s="85"/>
      <c r="B70" s="15"/>
      <c r="C70" s="15"/>
      <c r="D70" s="15"/>
      <c r="E70" s="15"/>
      <c r="F70" s="15"/>
      <c r="G70" s="15"/>
      <c r="H70" s="15"/>
      <c r="I70" s="15"/>
      <c r="J70" s="15"/>
      <c r="K70" s="15"/>
    </row>
    <row r="71" spans="1:11" s="16" customFormat="1" ht="12.9" customHeight="1">
      <c r="A71" s="85"/>
      <c r="B71" s="15"/>
      <c r="C71" s="15"/>
      <c r="D71" s="15"/>
      <c r="E71" s="15"/>
      <c r="F71" s="15"/>
      <c r="G71" s="15"/>
      <c r="H71" s="15"/>
      <c r="I71" s="15"/>
      <c r="J71" s="15"/>
      <c r="K71" s="15"/>
    </row>
    <row r="72" spans="1:11" s="16" customFormat="1" ht="12.9" customHeight="1">
      <c r="A72" s="85"/>
      <c r="B72" s="15"/>
      <c r="C72" s="15"/>
      <c r="D72" s="15"/>
      <c r="E72" s="15"/>
      <c r="F72" s="15"/>
      <c r="G72" s="15"/>
      <c r="H72" s="15"/>
      <c r="I72" s="15"/>
      <c r="J72" s="15"/>
      <c r="K72" s="15"/>
    </row>
    <row r="73" spans="1:11" s="16" customFormat="1" ht="12.9" customHeight="1">
      <c r="A73" s="85"/>
      <c r="B73" s="15"/>
      <c r="C73" s="15"/>
      <c r="D73" s="15"/>
      <c r="E73" s="15"/>
      <c r="F73" s="15"/>
      <c r="G73" s="15"/>
      <c r="H73" s="15"/>
      <c r="I73" s="15"/>
      <c r="J73" s="15"/>
      <c r="K73" s="15"/>
    </row>
    <row r="74" spans="1:11" s="16" customFormat="1" ht="12.9" customHeight="1">
      <c r="A74" s="8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1" s="16" customFormat="1" ht="12.9" customHeight="1">
      <c r="A75" s="8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1" s="16" customFormat="1" ht="12.9" customHeight="1">
      <c r="A76" s="8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1" s="16" customFormat="1" ht="12.9" customHeight="1">
      <c r="A77" s="8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1" s="16" customFormat="1" ht="12.9" customHeight="1">
      <c r="A78" s="8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1" s="16" customFormat="1" ht="12.9" customHeight="1">
      <c r="A79" s="8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1" s="16" customFormat="1" ht="12.9" customHeight="1">
      <c r="A80" s="8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s="16" customFormat="1" ht="12.9" customHeight="1">
      <c r="A81" s="8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s="16" customFormat="1" ht="12.9" customHeight="1">
      <c r="A82" s="8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s="16" customFormat="1" ht="12.9" customHeight="1">
      <c r="A83" s="8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s="16" customFormat="1" ht="12.9" customHeight="1">
      <c r="A84" s="8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s="16" customFormat="1" ht="12.9" customHeight="1">
      <c r="A85" s="8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s="16" customFormat="1" ht="12.9" customHeight="1">
      <c r="A86" s="8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s="16" customFormat="1" ht="12.9" customHeight="1">
      <c r="A87" s="8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s="16" customFormat="1" ht="12.9" customHeight="1">
      <c r="A88" s="8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s="16" customFormat="1" ht="12.9" customHeight="1">
      <c r="A89" s="8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s="16" customFormat="1" ht="12.9" customHeight="1">
      <c r="A90" s="8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s="16" customFormat="1" ht="12.9" customHeight="1">
      <c r="A91" s="8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s="16" customFormat="1" ht="12.9" customHeight="1">
      <c r="A92" s="8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s="16" customFormat="1" ht="12.9" customHeight="1">
      <c r="A93" s="8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s="16" customFormat="1" ht="12.9" customHeight="1">
      <c r="A94" s="8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s="16" customFormat="1" ht="12.9" customHeight="1">
      <c r="A95" s="8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s="16" customFormat="1" ht="12.9" customHeight="1">
      <c r="A96" s="8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s="16" customFormat="1" ht="12.9" customHeight="1">
      <c r="A97" s="8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s="16" customFormat="1" ht="12.9" customHeight="1">
      <c r="A98" s="8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s="16" customFormat="1" ht="12.9" customHeight="1">
      <c r="A99" s="8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s="16" customFormat="1" ht="12.9" customHeight="1">
      <c r="A100" s="8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s="16" customFormat="1" ht="12.9" customHeight="1">
      <c r="A101" s="8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s="16" customFormat="1" ht="12.9" customHeight="1">
      <c r="A102" s="8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s="16" customFormat="1" ht="12.9" customHeight="1">
      <c r="A103" s="8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s="16" customFormat="1" ht="12.9" customHeight="1">
      <c r="A104" s="8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s="16" customFormat="1" ht="12.9" customHeight="1">
      <c r="A105" s="8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s="16" customFormat="1" ht="12.9" customHeight="1">
      <c r="A106" s="8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s="16" customFormat="1" ht="12.9" customHeight="1">
      <c r="A107" s="8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s="16" customFormat="1" ht="12.9" customHeight="1">
      <c r="A108" s="8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s="16" customFormat="1" ht="12.9" customHeight="1">
      <c r="A109" s="8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s="16" customFormat="1" ht="12.9" customHeight="1">
      <c r="A110" s="8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s="16" customFormat="1" ht="12.9" customHeight="1">
      <c r="A111" s="8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s="16" customFormat="1" ht="12.9" customHeight="1">
      <c r="A112" s="8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s="16" customFormat="1" ht="12.9" customHeight="1">
      <c r="A113" s="8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s="16" customFormat="1" ht="12.9" customHeight="1">
      <c r="A114" s="8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s="16" customFormat="1" ht="12.9" customHeight="1">
      <c r="A115" s="8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s="16" customFormat="1" ht="12.9" customHeight="1">
      <c r="A116" s="8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s="16" customFormat="1" ht="12.9" customHeight="1">
      <c r="A117" s="8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s="16" customFormat="1" ht="12.9" customHeight="1">
      <c r="A118" s="8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s="16" customFormat="1" ht="12.9" customHeight="1">
      <c r="A119" s="8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s="16" customFormat="1" ht="12.9" customHeight="1">
      <c r="A120" s="8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s="16" customFormat="1" ht="12.9" customHeight="1">
      <c r="A121" s="8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s="16" customFormat="1" ht="12.9" customHeight="1">
      <c r="A122" s="8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s="16" customFormat="1" ht="12.9" customHeight="1">
      <c r="A123" s="8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s="16" customFormat="1" ht="12.9" customHeight="1">
      <c r="A124" s="8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s="16" customFormat="1" ht="12.9" customHeight="1">
      <c r="A125" s="8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s="16" customFormat="1" ht="12.9" customHeight="1">
      <c r="A126" s="8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s="16" customFormat="1" ht="12.9" customHeight="1">
      <c r="A127" s="8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s="16" customFormat="1" ht="12.9" customHeight="1">
      <c r="A128" s="8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s="16" customFormat="1" ht="12.9" customHeight="1">
      <c r="A129" s="8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s="16" customFormat="1" ht="12.9" customHeight="1">
      <c r="A130" s="8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s="16" customFormat="1" ht="12.9" customHeight="1">
      <c r="A131" s="8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s="16" customFormat="1" ht="12.9" customHeight="1">
      <c r="A132" s="8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s="16" customFormat="1" ht="12.9" customHeight="1">
      <c r="A133" s="8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s="16" customFormat="1" ht="12.9" customHeight="1">
      <c r="A134" s="8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s="16" customFormat="1" ht="12.9" customHeight="1">
      <c r="A135" s="8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s="16" customFormat="1" ht="12.9" customHeight="1">
      <c r="A136" s="8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s="16" customFormat="1" ht="12.9" customHeight="1">
      <c r="A137" s="8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s="16" customFormat="1" ht="12.9" customHeight="1">
      <c r="A138" s="8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s="16" customFormat="1" ht="12.9" customHeight="1">
      <c r="A139" s="8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s="16" customFormat="1" ht="12.9" customHeight="1">
      <c r="A140" s="8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s="16" customFormat="1" ht="12.9" customHeight="1">
      <c r="A141" s="8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s="16" customFormat="1" ht="12.9" customHeight="1">
      <c r="A142" s="8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s="16" customFormat="1" ht="12.9" customHeight="1">
      <c r="A143" s="8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s="16" customFormat="1" ht="12.9" customHeight="1">
      <c r="A144" s="8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s="16" customFormat="1" ht="12.9" customHeight="1">
      <c r="A145" s="8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s="16" customFormat="1" ht="12.9" customHeight="1">
      <c r="A146" s="8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s="16" customFormat="1" ht="12.9" customHeight="1">
      <c r="A147" s="8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s="16" customFormat="1" ht="12.9" customHeight="1">
      <c r="A148" s="8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s="16" customFormat="1" ht="12.9" customHeight="1">
      <c r="A149" s="8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s="16" customFormat="1" ht="12.9" customHeight="1">
      <c r="A150" s="8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  <row r="151" spans="1:11" s="16" customFormat="1" ht="12.9" customHeight="1">
      <c r="A151" s="85"/>
      <c r="B151" s="15"/>
      <c r="C151" s="15"/>
      <c r="D151" s="15"/>
      <c r="E151" s="15"/>
      <c r="F151" s="15"/>
      <c r="G151" s="15"/>
      <c r="H151" s="15"/>
      <c r="I151" s="15"/>
      <c r="J151" s="15"/>
      <c r="K151" s="15"/>
    </row>
    <row r="152" spans="1:11" s="16" customFormat="1" ht="12.9" customHeight="1">
      <c r="A152" s="85"/>
      <c r="B152" s="15"/>
      <c r="C152" s="15"/>
      <c r="D152" s="15"/>
      <c r="E152" s="15"/>
      <c r="F152" s="15"/>
      <c r="G152" s="15"/>
      <c r="H152" s="15"/>
      <c r="I152" s="15"/>
      <c r="J152" s="15"/>
      <c r="K152" s="15"/>
    </row>
    <row r="153" spans="1:11" s="16" customFormat="1" ht="12.9" customHeight="1">
      <c r="A153" s="85"/>
      <c r="B153" s="15"/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1:11" s="16" customFormat="1" ht="12.9" customHeight="1">
      <c r="A154" s="85"/>
      <c r="B154" s="15"/>
      <c r="C154" s="15"/>
      <c r="D154" s="15"/>
      <c r="E154" s="15"/>
      <c r="F154" s="15"/>
      <c r="G154" s="15"/>
      <c r="H154" s="15"/>
      <c r="I154" s="15"/>
      <c r="J154" s="15"/>
      <c r="K154" s="15"/>
    </row>
    <row r="155" spans="1:11" s="16" customFormat="1" ht="12.9" customHeight="1">
      <c r="A155" s="85"/>
      <c r="B155" s="15"/>
      <c r="C155" s="15"/>
      <c r="D155" s="15"/>
      <c r="E155" s="15"/>
      <c r="F155" s="15"/>
      <c r="G155" s="15"/>
      <c r="H155" s="15"/>
      <c r="I155" s="15"/>
      <c r="J155" s="15"/>
      <c r="K155" s="15"/>
    </row>
    <row r="156" spans="1:11" s="16" customFormat="1" ht="12.9" customHeight="1">
      <c r="A156" s="85"/>
      <c r="B156" s="15"/>
      <c r="C156" s="15"/>
      <c r="D156" s="15"/>
      <c r="E156" s="15"/>
      <c r="F156" s="15"/>
      <c r="G156" s="15"/>
      <c r="H156" s="15"/>
      <c r="I156" s="15"/>
      <c r="J156" s="15"/>
      <c r="K156" s="15"/>
    </row>
    <row r="157" spans="1:11" s="16" customFormat="1" ht="12.9" customHeight="1">
      <c r="A157" s="85"/>
      <c r="B157" s="15"/>
      <c r="C157" s="15"/>
      <c r="D157" s="15"/>
      <c r="E157" s="15"/>
      <c r="F157" s="15"/>
      <c r="G157" s="15"/>
      <c r="H157" s="15"/>
      <c r="I157" s="15"/>
      <c r="J157" s="15"/>
      <c r="K157" s="15"/>
    </row>
    <row r="158" spans="1:11" s="16" customFormat="1" ht="12.9" customHeight="1">
      <c r="A158" s="85"/>
      <c r="B158" s="15"/>
      <c r="C158" s="15"/>
      <c r="D158" s="15"/>
      <c r="E158" s="15"/>
      <c r="F158" s="15"/>
      <c r="G158" s="15"/>
      <c r="H158" s="15"/>
      <c r="I158" s="15"/>
      <c r="J158" s="15"/>
      <c r="K158" s="15"/>
    </row>
    <row r="159" spans="1:11" s="16" customFormat="1" ht="12.9" customHeight="1">
      <c r="A159" s="85"/>
      <c r="B159" s="15"/>
      <c r="C159" s="15"/>
      <c r="D159" s="15"/>
      <c r="E159" s="15"/>
      <c r="F159" s="15"/>
      <c r="G159" s="15"/>
      <c r="H159" s="15"/>
      <c r="I159" s="15"/>
      <c r="J159" s="15"/>
      <c r="K159" s="15"/>
    </row>
    <row r="160" spans="1:11" s="16" customFormat="1" ht="12.9" customHeight="1">
      <c r="A160" s="85"/>
      <c r="B160" s="15"/>
      <c r="C160" s="15"/>
      <c r="D160" s="15"/>
      <c r="E160" s="15"/>
      <c r="F160" s="15"/>
      <c r="G160" s="15"/>
      <c r="H160" s="15"/>
      <c r="I160" s="15"/>
      <c r="J160" s="15"/>
      <c r="K160" s="15"/>
    </row>
    <row r="161" spans="1:11" s="16" customFormat="1" ht="12.9" customHeight="1">
      <c r="A161" s="85"/>
      <c r="B161" s="15"/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1:11" s="16" customFormat="1" ht="12.9" customHeight="1">
      <c r="A162" s="85"/>
      <c r="B162" s="15"/>
      <c r="C162" s="15"/>
      <c r="D162" s="15"/>
      <c r="E162" s="15"/>
      <c r="F162" s="15"/>
      <c r="G162" s="15"/>
      <c r="H162" s="15"/>
      <c r="I162" s="15"/>
      <c r="J162" s="15"/>
      <c r="K162" s="15"/>
    </row>
    <row r="163" spans="1:11" s="16" customFormat="1" ht="12.9" customHeight="1">
      <c r="A163" s="85"/>
      <c r="B163" s="15"/>
      <c r="C163" s="15"/>
      <c r="D163" s="15"/>
      <c r="E163" s="15"/>
      <c r="F163" s="15"/>
      <c r="G163" s="15"/>
      <c r="H163" s="15"/>
      <c r="I163" s="15"/>
      <c r="J163" s="15"/>
      <c r="K163" s="15"/>
    </row>
    <row r="164" spans="1:11" s="16" customFormat="1" ht="12.9" customHeight="1">
      <c r="A164" s="85"/>
      <c r="B164" s="15"/>
      <c r="C164" s="15"/>
      <c r="D164" s="15"/>
      <c r="E164" s="15"/>
      <c r="F164" s="15"/>
      <c r="G164" s="15"/>
      <c r="H164" s="15"/>
      <c r="I164" s="15"/>
      <c r="J164" s="15"/>
      <c r="K164" s="15"/>
    </row>
    <row r="165" spans="1:11" s="16" customFormat="1" ht="12.9" customHeight="1">
      <c r="A165" s="85"/>
      <c r="B165" s="15"/>
      <c r="C165" s="15"/>
      <c r="D165" s="15"/>
      <c r="E165" s="15"/>
      <c r="F165" s="15"/>
      <c r="G165" s="15"/>
      <c r="H165" s="15"/>
      <c r="I165" s="15"/>
      <c r="J165" s="15"/>
      <c r="K165" s="15"/>
    </row>
    <row r="166" spans="1:11" s="16" customFormat="1" ht="12.9" customHeight="1">
      <c r="A166" s="85"/>
      <c r="B166" s="15"/>
      <c r="C166" s="15"/>
      <c r="D166" s="15"/>
      <c r="E166" s="15"/>
      <c r="F166" s="15"/>
      <c r="G166" s="15"/>
      <c r="H166" s="15"/>
      <c r="I166" s="15"/>
      <c r="J166" s="15"/>
      <c r="K166" s="15"/>
    </row>
    <row r="167" spans="1:11" s="16" customFormat="1" ht="12.9" customHeight="1">
      <c r="A167" s="85"/>
      <c r="B167" s="15"/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1:11" s="16" customFormat="1" ht="12.9" customHeight="1">
      <c r="A168" s="85"/>
      <c r="B168" s="15"/>
      <c r="C168" s="15"/>
      <c r="D168" s="15"/>
      <c r="E168" s="15"/>
      <c r="F168" s="15"/>
      <c r="G168" s="15"/>
      <c r="H168" s="15"/>
      <c r="I168" s="15"/>
      <c r="J168" s="15"/>
      <c r="K168" s="15"/>
    </row>
    <row r="169" spans="1:11" s="16" customFormat="1" ht="12.9" customHeight="1">
      <c r="A169" s="85"/>
      <c r="B169" s="15"/>
      <c r="C169" s="15"/>
      <c r="D169" s="15"/>
      <c r="E169" s="15"/>
      <c r="F169" s="15"/>
      <c r="G169" s="15"/>
      <c r="H169" s="15"/>
      <c r="I169" s="15"/>
      <c r="J169" s="15"/>
      <c r="K169" s="15"/>
    </row>
    <row r="170" spans="1:11" s="16" customFormat="1" ht="12.9" customHeight="1">
      <c r="A170" s="85"/>
      <c r="B170" s="15"/>
      <c r="C170" s="15"/>
      <c r="D170" s="15"/>
      <c r="E170" s="15"/>
      <c r="F170" s="15"/>
      <c r="G170" s="15"/>
      <c r="H170" s="15"/>
      <c r="I170" s="15"/>
      <c r="J170" s="15"/>
      <c r="K170" s="15"/>
    </row>
    <row r="171" spans="1:11" s="16" customFormat="1" ht="12.9" customHeight="1">
      <c r="A171" s="85"/>
      <c r="B171" s="15"/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1:11" s="16" customFormat="1" ht="12.9" customHeight="1">
      <c r="A172" s="85"/>
      <c r="B172" s="15"/>
      <c r="C172" s="15"/>
      <c r="D172" s="15"/>
      <c r="E172" s="15"/>
      <c r="F172" s="15"/>
      <c r="G172" s="15"/>
      <c r="H172" s="15"/>
      <c r="I172" s="15"/>
      <c r="J172" s="15"/>
      <c r="K172" s="15"/>
    </row>
    <row r="173" spans="1:11" s="16" customFormat="1" ht="12.9" customHeight="1">
      <c r="A173" s="85"/>
      <c r="B173" s="15"/>
      <c r="C173" s="15"/>
      <c r="D173" s="15"/>
      <c r="E173" s="15"/>
      <c r="F173" s="15"/>
      <c r="G173" s="15"/>
      <c r="H173" s="15"/>
      <c r="I173" s="15"/>
      <c r="J173" s="15"/>
      <c r="K173" s="15"/>
    </row>
    <row r="174" spans="1:11" s="16" customFormat="1" ht="12.9" customHeight="1">
      <c r="A174" s="85"/>
      <c r="B174" s="15"/>
      <c r="C174" s="15"/>
      <c r="D174" s="15"/>
      <c r="E174" s="15"/>
      <c r="F174" s="15"/>
      <c r="G174" s="15"/>
      <c r="H174" s="15"/>
      <c r="I174" s="15"/>
      <c r="J174" s="15"/>
      <c r="K174" s="15"/>
    </row>
    <row r="175" spans="1:11" s="16" customFormat="1" ht="12.9" customHeight="1">
      <c r="A175" s="85"/>
      <c r="B175" s="15"/>
      <c r="C175" s="15"/>
      <c r="D175" s="15"/>
      <c r="E175" s="15"/>
      <c r="F175" s="15"/>
      <c r="G175" s="15"/>
      <c r="H175" s="15"/>
      <c r="I175" s="15"/>
      <c r="J175" s="15"/>
      <c r="K175" s="15"/>
    </row>
    <row r="176" spans="1:11" s="16" customFormat="1" ht="12.9" customHeight="1">
      <c r="A176" s="85"/>
      <c r="B176" s="15"/>
      <c r="C176" s="15"/>
      <c r="D176" s="15"/>
      <c r="E176" s="15"/>
      <c r="F176" s="15"/>
      <c r="G176" s="15"/>
      <c r="H176" s="15"/>
      <c r="I176" s="15"/>
      <c r="J176" s="15"/>
      <c r="K176" s="15"/>
    </row>
    <row r="177" spans="1:11" s="16" customFormat="1" ht="12.9" customHeight="1">
      <c r="A177" s="85"/>
      <c r="B177" s="15"/>
      <c r="C177" s="15"/>
      <c r="D177" s="15"/>
      <c r="E177" s="15"/>
      <c r="F177" s="15"/>
      <c r="G177" s="15"/>
      <c r="H177" s="15"/>
      <c r="I177" s="15"/>
      <c r="J177" s="15"/>
      <c r="K177" s="15"/>
    </row>
    <row r="178" spans="1:11" s="16" customFormat="1" ht="12.9" customHeight="1">
      <c r="A178" s="85"/>
      <c r="B178" s="15"/>
      <c r="C178" s="15"/>
      <c r="D178" s="15"/>
      <c r="E178" s="15"/>
      <c r="F178" s="15"/>
      <c r="G178" s="15"/>
      <c r="H178" s="15"/>
      <c r="I178" s="15"/>
      <c r="J178" s="15"/>
      <c r="K178" s="15"/>
    </row>
    <row r="179" spans="1:11" s="16" customFormat="1" ht="12.9" customHeight="1">
      <c r="A179" s="85"/>
      <c r="B179" s="15"/>
      <c r="C179" s="15"/>
      <c r="D179" s="15"/>
      <c r="E179" s="15"/>
      <c r="F179" s="15"/>
      <c r="G179" s="15"/>
      <c r="H179" s="15"/>
      <c r="I179" s="15"/>
      <c r="J179" s="15"/>
      <c r="K179" s="15"/>
    </row>
    <row r="180" spans="1:11" s="16" customFormat="1" ht="12.9" customHeight="1">
      <c r="A180" s="85"/>
      <c r="B180" s="15"/>
      <c r="C180" s="15"/>
      <c r="D180" s="15"/>
      <c r="E180" s="15"/>
      <c r="F180" s="15"/>
      <c r="G180" s="15"/>
      <c r="H180" s="15"/>
      <c r="I180" s="15"/>
      <c r="J180" s="15"/>
      <c r="K180" s="15"/>
    </row>
    <row r="181" spans="1:11" s="16" customFormat="1" ht="12.9" customHeight="1">
      <c r="A181" s="85"/>
      <c r="B181" s="15"/>
      <c r="C181" s="15"/>
      <c r="D181" s="15"/>
      <c r="E181" s="15"/>
      <c r="F181" s="15"/>
      <c r="G181" s="15"/>
      <c r="H181" s="15"/>
      <c r="I181" s="15"/>
      <c r="J181" s="15"/>
      <c r="K181" s="15"/>
    </row>
    <row r="182" spans="1:11" s="16" customFormat="1" ht="12.9" customHeight="1">
      <c r="A182" s="85"/>
      <c r="B182" s="15"/>
      <c r="C182" s="15"/>
      <c r="D182" s="15"/>
      <c r="E182" s="15"/>
      <c r="F182" s="15"/>
      <c r="G182" s="15"/>
      <c r="H182" s="15"/>
      <c r="I182" s="15"/>
      <c r="J182" s="15"/>
      <c r="K182" s="15"/>
    </row>
    <row r="183" spans="1:11" s="16" customFormat="1" ht="12.9" customHeight="1">
      <c r="A183" s="85"/>
      <c r="B183" s="15"/>
      <c r="C183" s="15"/>
      <c r="D183" s="15"/>
      <c r="E183" s="15"/>
      <c r="F183" s="15"/>
      <c r="G183" s="15"/>
      <c r="H183" s="15"/>
      <c r="I183" s="15"/>
      <c r="J183" s="15"/>
      <c r="K183" s="15"/>
    </row>
    <row r="184" spans="1:11" s="16" customFormat="1" ht="12.9" customHeight="1">
      <c r="A184" s="85"/>
      <c r="B184" s="15"/>
      <c r="C184" s="15"/>
      <c r="D184" s="15"/>
      <c r="E184" s="15"/>
      <c r="F184" s="15"/>
      <c r="G184" s="15"/>
      <c r="H184" s="15"/>
      <c r="I184" s="15"/>
      <c r="J184" s="15"/>
      <c r="K184" s="15"/>
    </row>
    <row r="185" spans="1:11" s="16" customFormat="1" ht="12.9" customHeight="1">
      <c r="A185" s="85"/>
      <c r="B185" s="15"/>
      <c r="C185" s="15"/>
      <c r="D185" s="15"/>
      <c r="E185" s="15"/>
      <c r="F185" s="15"/>
      <c r="G185" s="15"/>
      <c r="H185" s="15"/>
      <c r="I185" s="15"/>
      <c r="J185" s="15"/>
      <c r="K185" s="15"/>
    </row>
    <row r="186" spans="1:11" s="16" customFormat="1" ht="12.9" customHeight="1">
      <c r="A186" s="85"/>
      <c r="B186" s="15"/>
      <c r="C186" s="15"/>
      <c r="D186" s="15"/>
      <c r="E186" s="15"/>
      <c r="F186" s="15"/>
      <c r="G186" s="15"/>
      <c r="H186" s="15"/>
      <c r="I186" s="15"/>
      <c r="J186" s="15"/>
      <c r="K186" s="15"/>
    </row>
    <row r="187" spans="1:11" s="16" customFormat="1" ht="12.9" customHeight="1">
      <c r="A187" s="85"/>
      <c r="B187" s="15"/>
      <c r="C187" s="15"/>
      <c r="D187" s="15"/>
      <c r="E187" s="15"/>
      <c r="F187" s="15"/>
      <c r="G187" s="15"/>
      <c r="H187" s="15"/>
      <c r="I187" s="15"/>
      <c r="J187" s="15"/>
      <c r="K187" s="15"/>
    </row>
    <row r="188" spans="1:11" s="16" customFormat="1" ht="12.9" customHeight="1">
      <c r="A188" s="85"/>
      <c r="B188" s="15"/>
      <c r="C188" s="15"/>
      <c r="D188" s="15"/>
      <c r="E188" s="15"/>
      <c r="F188" s="15"/>
      <c r="G188" s="15"/>
      <c r="H188" s="15"/>
      <c r="I188" s="15"/>
      <c r="J188" s="15"/>
      <c r="K188" s="15"/>
    </row>
    <row r="189" spans="1:11" s="16" customFormat="1" ht="12.9" customHeight="1">
      <c r="A189" s="85"/>
      <c r="B189" s="15"/>
      <c r="C189" s="15"/>
      <c r="D189" s="15"/>
      <c r="E189" s="15"/>
      <c r="F189" s="15"/>
      <c r="G189" s="15"/>
      <c r="H189" s="15"/>
      <c r="I189" s="15"/>
      <c r="J189" s="15"/>
      <c r="K189" s="15"/>
    </row>
    <row r="190" spans="1:11" s="16" customFormat="1" ht="12.9" customHeight="1">
      <c r="A190" s="85"/>
      <c r="B190" s="15"/>
      <c r="C190" s="15"/>
      <c r="D190" s="15"/>
      <c r="E190" s="15"/>
      <c r="F190" s="15"/>
      <c r="G190" s="15"/>
      <c r="H190" s="15"/>
      <c r="I190" s="15"/>
      <c r="J190" s="15"/>
      <c r="K190" s="15"/>
    </row>
    <row r="191" spans="1:11" s="16" customFormat="1" ht="12.9" customHeight="1">
      <c r="A191" s="85"/>
      <c r="B191" s="15"/>
      <c r="C191" s="15"/>
      <c r="D191" s="15"/>
      <c r="E191" s="15"/>
      <c r="F191" s="15"/>
      <c r="G191" s="15"/>
      <c r="H191" s="15"/>
      <c r="I191" s="15"/>
      <c r="J191" s="15"/>
      <c r="K191" s="15"/>
    </row>
    <row r="192" spans="1:11" s="16" customFormat="1" ht="12.9" customHeight="1">
      <c r="A192" s="85"/>
      <c r="B192" s="15"/>
      <c r="C192" s="15"/>
      <c r="D192" s="15"/>
      <c r="E192" s="15"/>
      <c r="F192" s="15"/>
      <c r="G192" s="15"/>
      <c r="H192" s="15"/>
      <c r="I192" s="15"/>
      <c r="J192" s="15"/>
      <c r="K192" s="15"/>
    </row>
    <row r="193" spans="1:11" s="16" customFormat="1" ht="12.9" customHeight="1">
      <c r="A193" s="85"/>
      <c r="B193" s="15"/>
      <c r="C193" s="15"/>
      <c r="D193" s="15"/>
      <c r="E193" s="15"/>
      <c r="F193" s="15"/>
      <c r="G193" s="15"/>
      <c r="H193" s="15"/>
      <c r="I193" s="15"/>
      <c r="J193" s="15"/>
      <c r="K193" s="15"/>
    </row>
    <row r="194" spans="1:11" s="16" customFormat="1" ht="12.9" customHeight="1">
      <c r="A194" s="85"/>
      <c r="B194" s="15"/>
      <c r="C194" s="15"/>
      <c r="D194" s="15"/>
      <c r="E194" s="15"/>
      <c r="F194" s="15"/>
      <c r="G194" s="15"/>
      <c r="H194" s="15"/>
      <c r="I194" s="15"/>
      <c r="J194" s="15"/>
      <c r="K194" s="15"/>
    </row>
    <row r="195" spans="1:11" s="16" customFormat="1" ht="12.9" customHeight="1">
      <c r="A195" s="85"/>
      <c r="B195" s="15"/>
      <c r="C195" s="15"/>
      <c r="D195" s="15"/>
      <c r="E195" s="15"/>
      <c r="F195" s="15"/>
      <c r="G195" s="15"/>
      <c r="H195" s="15"/>
      <c r="I195" s="15"/>
      <c r="J195" s="15"/>
      <c r="K195" s="15"/>
    </row>
    <row r="196" spans="1:11" s="16" customFormat="1" ht="12.9" customHeight="1">
      <c r="A196" s="85"/>
      <c r="B196" s="15"/>
      <c r="C196" s="15"/>
      <c r="D196" s="15"/>
      <c r="E196" s="15"/>
      <c r="F196" s="15"/>
      <c r="G196" s="15"/>
      <c r="H196" s="15"/>
      <c r="I196" s="15"/>
      <c r="J196" s="15"/>
      <c r="K196" s="15"/>
    </row>
    <row r="197" spans="1:11" s="16" customFormat="1" ht="12.9" customHeight="1">
      <c r="A197" s="85"/>
      <c r="B197" s="15"/>
      <c r="C197" s="15"/>
      <c r="D197" s="15"/>
      <c r="E197" s="15"/>
      <c r="F197" s="15"/>
      <c r="G197" s="15"/>
      <c r="H197" s="15"/>
      <c r="I197" s="15"/>
      <c r="J197" s="15"/>
      <c r="K197" s="15"/>
    </row>
    <row r="198" spans="1:11" s="16" customFormat="1" ht="12.9" customHeight="1">
      <c r="A198" s="85"/>
      <c r="B198" s="15"/>
      <c r="C198" s="15"/>
      <c r="D198" s="15"/>
      <c r="E198" s="15"/>
      <c r="F198" s="15"/>
      <c r="G198" s="15"/>
      <c r="H198" s="15"/>
      <c r="I198" s="15"/>
      <c r="J198" s="15"/>
      <c r="K198" s="15"/>
    </row>
    <row r="199" spans="1:11" s="16" customFormat="1" ht="12.9" customHeight="1">
      <c r="A199" s="85"/>
      <c r="B199" s="15"/>
      <c r="C199" s="15"/>
      <c r="D199" s="15"/>
      <c r="E199" s="15"/>
      <c r="F199" s="15"/>
      <c r="G199" s="15"/>
      <c r="H199" s="15"/>
      <c r="I199" s="15"/>
      <c r="J199" s="15"/>
      <c r="K199" s="15"/>
    </row>
    <row r="200" spans="1:11" s="16" customFormat="1" ht="12.9" customHeight="1">
      <c r="A200" s="85"/>
      <c r="B200" s="15"/>
      <c r="C200" s="15"/>
      <c r="D200" s="15"/>
      <c r="E200" s="15"/>
      <c r="F200" s="15"/>
      <c r="G200" s="15"/>
      <c r="H200" s="15"/>
      <c r="I200" s="15"/>
      <c r="J200" s="15"/>
      <c r="K200" s="15"/>
    </row>
    <row r="201" spans="1:11" s="16" customFormat="1" ht="12.9" customHeight="1">
      <c r="A201" s="85"/>
      <c r="B201" s="15"/>
      <c r="C201" s="15"/>
      <c r="D201" s="15"/>
      <c r="E201" s="15"/>
      <c r="F201" s="15"/>
      <c r="G201" s="15"/>
      <c r="H201" s="15"/>
      <c r="I201" s="15"/>
      <c r="J201" s="15"/>
      <c r="K201" s="15"/>
    </row>
    <row r="202" spans="1:11" s="16" customFormat="1" ht="12.9" customHeight="1">
      <c r="A202" s="85"/>
      <c r="B202" s="15"/>
      <c r="C202" s="15"/>
      <c r="D202" s="15"/>
      <c r="E202" s="15"/>
      <c r="F202" s="15"/>
      <c r="G202" s="15"/>
      <c r="H202" s="15"/>
      <c r="I202" s="15"/>
      <c r="J202" s="15"/>
      <c r="K202" s="15"/>
    </row>
    <row r="203" spans="1:11" s="16" customFormat="1" ht="12.9" customHeight="1">
      <c r="A203" s="85"/>
      <c r="B203" s="15"/>
      <c r="C203" s="15"/>
      <c r="D203" s="15"/>
      <c r="E203" s="15"/>
      <c r="F203" s="15"/>
      <c r="G203" s="15"/>
      <c r="H203" s="15"/>
      <c r="I203" s="15"/>
      <c r="J203" s="15"/>
      <c r="K203" s="15"/>
    </row>
    <row r="204" spans="1:11" s="16" customFormat="1" ht="12.9" customHeight="1">
      <c r="A204" s="85"/>
      <c r="B204" s="15"/>
      <c r="C204" s="15"/>
      <c r="D204" s="15"/>
      <c r="E204" s="15"/>
      <c r="F204" s="15"/>
      <c r="G204" s="15"/>
      <c r="H204" s="15"/>
      <c r="I204" s="15"/>
      <c r="J204" s="15"/>
      <c r="K204" s="15"/>
    </row>
    <row r="205" spans="1:11" s="16" customFormat="1" ht="12.9" customHeight="1">
      <c r="A205" s="85"/>
      <c r="B205" s="15"/>
      <c r="C205" s="15"/>
      <c r="D205" s="15"/>
      <c r="E205" s="15"/>
      <c r="F205" s="15"/>
      <c r="G205" s="15"/>
      <c r="H205" s="15"/>
      <c r="I205" s="15"/>
      <c r="J205" s="15"/>
      <c r="K205" s="15"/>
    </row>
    <row r="206" spans="1:11" s="16" customFormat="1" ht="12.9" customHeight="1">
      <c r="A206" s="85"/>
      <c r="B206" s="15"/>
      <c r="C206" s="15"/>
      <c r="D206" s="15"/>
      <c r="E206" s="15"/>
      <c r="F206" s="15"/>
      <c r="G206" s="15"/>
      <c r="H206" s="15"/>
      <c r="I206" s="15"/>
      <c r="J206" s="15"/>
      <c r="K206" s="15"/>
    </row>
    <row r="207" spans="1:11" s="16" customFormat="1" ht="12.9" customHeight="1">
      <c r="A207" s="85"/>
      <c r="B207" s="15"/>
      <c r="C207" s="15"/>
      <c r="D207" s="15"/>
      <c r="E207" s="15"/>
      <c r="F207" s="15"/>
      <c r="G207" s="15"/>
      <c r="H207" s="15"/>
      <c r="I207" s="15"/>
      <c r="J207" s="15"/>
      <c r="K207" s="15"/>
    </row>
    <row r="208" spans="1:11" s="16" customFormat="1" ht="12.9" customHeight="1">
      <c r="A208" s="85"/>
      <c r="B208" s="15"/>
      <c r="C208" s="15"/>
      <c r="D208" s="15"/>
      <c r="E208" s="15"/>
      <c r="F208" s="15"/>
      <c r="G208" s="15"/>
      <c r="H208" s="15"/>
      <c r="I208" s="15"/>
      <c r="J208" s="15"/>
      <c r="K208" s="15"/>
    </row>
    <row r="209" spans="1:11" s="16" customFormat="1" ht="12.9" customHeight="1">
      <c r="A209" s="85"/>
      <c r="B209" s="15"/>
      <c r="C209" s="15"/>
      <c r="D209" s="15"/>
      <c r="E209" s="15"/>
      <c r="F209" s="15"/>
      <c r="G209" s="15"/>
      <c r="H209" s="15"/>
      <c r="I209" s="15"/>
      <c r="J209" s="15"/>
      <c r="K209" s="15"/>
    </row>
    <row r="210" spans="1:11" s="16" customFormat="1" ht="12.9" customHeight="1">
      <c r="A210" s="85"/>
      <c r="B210" s="15"/>
      <c r="C210" s="15"/>
      <c r="D210" s="15"/>
      <c r="E210" s="15"/>
      <c r="F210" s="15"/>
      <c r="G210" s="15"/>
      <c r="H210" s="15"/>
      <c r="I210" s="15"/>
      <c r="J210" s="15"/>
      <c r="K210" s="15"/>
    </row>
    <row r="211" spans="1:11" s="16" customFormat="1" ht="12.9" customHeight="1">
      <c r="A211" s="85"/>
      <c r="B211" s="15"/>
      <c r="C211" s="15"/>
      <c r="D211" s="15"/>
      <c r="E211" s="15"/>
      <c r="F211" s="15"/>
      <c r="G211" s="15"/>
      <c r="H211" s="15"/>
      <c r="I211" s="15"/>
      <c r="J211" s="15"/>
      <c r="K211" s="15"/>
    </row>
    <row r="212" spans="1:11" s="16" customFormat="1" ht="12.9" customHeight="1">
      <c r="A212" s="85"/>
      <c r="B212" s="15"/>
      <c r="C212" s="15"/>
      <c r="D212" s="15"/>
      <c r="E212" s="15"/>
      <c r="F212" s="15"/>
      <c r="G212" s="15"/>
      <c r="H212" s="15"/>
      <c r="I212" s="15"/>
      <c r="J212" s="15"/>
      <c r="K212" s="15"/>
    </row>
    <row r="213" spans="1:11" s="16" customFormat="1" ht="12.9" customHeight="1">
      <c r="A213" s="85"/>
      <c r="B213" s="15"/>
      <c r="C213" s="15"/>
      <c r="D213" s="15"/>
      <c r="E213" s="15"/>
      <c r="F213" s="15"/>
      <c r="G213" s="15"/>
      <c r="H213" s="15"/>
      <c r="I213" s="15"/>
      <c r="J213" s="15"/>
      <c r="K213" s="15"/>
    </row>
    <row r="214" spans="1:11" s="16" customFormat="1" ht="12.9" customHeight="1">
      <c r="A214" s="85"/>
      <c r="B214" s="15"/>
      <c r="C214" s="15"/>
      <c r="D214" s="15"/>
      <c r="E214" s="15"/>
      <c r="F214" s="15"/>
      <c r="G214" s="15"/>
      <c r="H214" s="15"/>
      <c r="I214" s="15"/>
      <c r="J214" s="15"/>
      <c r="K214" s="15"/>
    </row>
    <row r="215" spans="1:11" s="16" customFormat="1" ht="12.9" customHeight="1">
      <c r="A215" s="85"/>
      <c r="B215" s="15"/>
      <c r="C215" s="15"/>
      <c r="D215" s="15"/>
      <c r="E215" s="15"/>
      <c r="F215" s="15"/>
      <c r="G215" s="15"/>
      <c r="H215" s="15"/>
      <c r="I215" s="15"/>
      <c r="J215" s="15"/>
      <c r="K215" s="15"/>
    </row>
    <row r="216" spans="1:11" s="16" customFormat="1" ht="12.9" customHeight="1">
      <c r="A216" s="85"/>
      <c r="B216" s="15"/>
      <c r="C216" s="15"/>
      <c r="D216" s="15"/>
      <c r="E216" s="15"/>
      <c r="F216" s="15"/>
      <c r="G216" s="15"/>
      <c r="H216" s="15"/>
      <c r="I216" s="15"/>
      <c r="J216" s="15"/>
      <c r="K216" s="15"/>
    </row>
    <row r="217" spans="1:11" s="16" customFormat="1" ht="12.9" customHeight="1">
      <c r="A217" s="8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s="16" customFormat="1" ht="12.9" customHeight="1">
      <c r="A218" s="8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s="16" customFormat="1" ht="12.9" customHeight="1">
      <c r="A219" s="8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s="16" customFormat="1" ht="12.9" customHeight="1">
      <c r="A220" s="8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s="16" customFormat="1" ht="12.9" customHeight="1">
      <c r="A221" s="85"/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  <row r="222" spans="1:11" s="16" customFormat="1" ht="12.9" customHeight="1">
      <c r="A222" s="85"/>
      <c r="B222" s="15"/>
      <c r="C222" s="15"/>
      <c r="D222" s="15"/>
      <c r="E222" s="15"/>
      <c r="F222" s="15"/>
      <c r="G222" s="15"/>
      <c r="H222" s="15"/>
      <c r="I222" s="15"/>
      <c r="J222" s="15"/>
      <c r="K222" s="15"/>
    </row>
    <row r="223" spans="1:11" s="16" customFormat="1" ht="12.9" customHeight="1">
      <c r="A223" s="85"/>
      <c r="B223" s="15"/>
      <c r="C223" s="15"/>
      <c r="D223" s="15"/>
      <c r="E223" s="15"/>
      <c r="F223" s="15"/>
      <c r="G223" s="15"/>
      <c r="H223" s="15"/>
      <c r="I223" s="15"/>
      <c r="J223" s="15"/>
      <c r="K223" s="15"/>
    </row>
    <row r="224" spans="1:11" s="16" customFormat="1" ht="12.9" customHeight="1">
      <c r="A224" s="85"/>
      <c r="B224" s="15"/>
      <c r="C224" s="15"/>
      <c r="D224" s="15"/>
      <c r="E224" s="15"/>
      <c r="F224" s="15"/>
      <c r="G224" s="15"/>
      <c r="H224" s="15"/>
      <c r="I224" s="15"/>
      <c r="J224" s="15"/>
      <c r="K224" s="15"/>
    </row>
    <row r="225" spans="1:11" s="16" customFormat="1" ht="12.9" customHeight="1">
      <c r="A225" s="85"/>
      <c r="B225" s="15"/>
      <c r="C225" s="15"/>
      <c r="D225" s="15"/>
      <c r="E225" s="15"/>
      <c r="F225" s="15"/>
      <c r="G225" s="15"/>
      <c r="H225" s="15"/>
      <c r="I225" s="15"/>
      <c r="J225" s="15"/>
      <c r="K225" s="15"/>
    </row>
    <row r="226" spans="1:11" s="16" customFormat="1" ht="12.9" customHeight="1">
      <c r="A226" s="85"/>
      <c r="B226" s="15"/>
      <c r="C226" s="15"/>
      <c r="D226" s="15"/>
      <c r="E226" s="15"/>
      <c r="F226" s="15"/>
      <c r="G226" s="15"/>
      <c r="H226" s="15"/>
      <c r="I226" s="15"/>
      <c r="J226" s="15"/>
      <c r="K226" s="15"/>
    </row>
    <row r="227" spans="1:11" s="16" customFormat="1" ht="12.9" customHeight="1">
      <c r="A227" s="85"/>
      <c r="B227" s="15"/>
      <c r="C227" s="15"/>
      <c r="D227" s="15"/>
      <c r="E227" s="15"/>
      <c r="F227" s="15"/>
      <c r="G227" s="15"/>
      <c r="H227" s="15"/>
      <c r="I227" s="15"/>
      <c r="J227" s="15"/>
      <c r="K227" s="15"/>
    </row>
    <row r="228" spans="1:11" s="16" customFormat="1" ht="12.9" customHeight="1">
      <c r="A228" s="85"/>
      <c r="B228" s="15"/>
      <c r="C228" s="15"/>
      <c r="D228" s="15"/>
      <c r="E228" s="15"/>
      <c r="F228" s="15"/>
      <c r="G228" s="15"/>
      <c r="H228" s="15"/>
      <c r="I228" s="15"/>
      <c r="J228" s="15"/>
      <c r="K228" s="15"/>
    </row>
    <row r="229" spans="1:11" s="16" customFormat="1" ht="12.9" customHeight="1">
      <c r="A229" s="85"/>
      <c r="B229" s="15"/>
      <c r="C229" s="15"/>
      <c r="D229" s="15"/>
      <c r="E229" s="15"/>
      <c r="F229" s="15"/>
      <c r="G229" s="15"/>
      <c r="H229" s="15"/>
      <c r="I229" s="15"/>
      <c r="J229" s="15"/>
      <c r="K229" s="15"/>
    </row>
    <row r="230" spans="1:11" s="16" customFormat="1" ht="12.9" customHeight="1">
      <c r="A230" s="85"/>
      <c r="B230" s="15"/>
      <c r="C230" s="15"/>
      <c r="D230" s="15"/>
      <c r="E230" s="15"/>
      <c r="F230" s="15"/>
      <c r="G230" s="15"/>
      <c r="H230" s="15"/>
      <c r="I230" s="15"/>
      <c r="J230" s="15"/>
      <c r="K230" s="15"/>
    </row>
    <row r="231" spans="1:11" s="16" customFormat="1" ht="12.9" customHeight="1">
      <c r="A231" s="85"/>
      <c r="B231" s="15"/>
      <c r="C231" s="15"/>
      <c r="D231" s="15"/>
      <c r="E231" s="15"/>
      <c r="F231" s="15"/>
      <c r="G231" s="15"/>
      <c r="H231" s="15"/>
      <c r="I231" s="15"/>
      <c r="J231" s="15"/>
      <c r="K231" s="15"/>
    </row>
    <row r="232" spans="1:11" s="16" customFormat="1" ht="12.9" customHeight="1">
      <c r="A232" s="85"/>
      <c r="B232" s="15"/>
      <c r="C232" s="15"/>
      <c r="D232" s="15"/>
      <c r="E232" s="15"/>
      <c r="F232" s="15"/>
      <c r="G232" s="15"/>
      <c r="H232" s="15"/>
      <c r="I232" s="15"/>
      <c r="J232" s="15"/>
      <c r="K232" s="15"/>
    </row>
    <row r="233" spans="1:11" s="16" customFormat="1" ht="12.9" customHeight="1">
      <c r="A233" s="85"/>
      <c r="B233" s="15"/>
      <c r="C233" s="15"/>
      <c r="D233" s="15"/>
      <c r="E233" s="15"/>
      <c r="F233" s="15"/>
      <c r="G233" s="15"/>
      <c r="H233" s="15"/>
      <c r="I233" s="15"/>
      <c r="J233" s="15"/>
      <c r="K233" s="15"/>
    </row>
    <row r="234" spans="1:11" s="16" customFormat="1" ht="12.9" customHeight="1">
      <c r="A234" s="85"/>
      <c r="B234" s="15"/>
      <c r="C234" s="15"/>
      <c r="D234" s="15"/>
      <c r="E234" s="15"/>
      <c r="F234" s="15"/>
      <c r="G234" s="15"/>
      <c r="H234" s="15"/>
      <c r="I234" s="15"/>
      <c r="J234" s="15"/>
      <c r="K234" s="15"/>
    </row>
    <row r="235" spans="1:11" s="16" customFormat="1" ht="12.9" customHeight="1">
      <c r="A235" s="85"/>
      <c r="B235" s="15"/>
      <c r="C235" s="15"/>
      <c r="D235" s="15"/>
      <c r="E235" s="15"/>
      <c r="F235" s="15"/>
      <c r="G235" s="15"/>
      <c r="H235" s="15"/>
      <c r="I235" s="15"/>
      <c r="J235" s="15"/>
      <c r="K235" s="15"/>
    </row>
    <row r="236" spans="1:11" s="16" customFormat="1" ht="12.9" customHeight="1">
      <c r="A236" s="85"/>
      <c r="B236" s="15"/>
      <c r="C236" s="15"/>
      <c r="D236" s="15"/>
      <c r="E236" s="15"/>
      <c r="F236" s="15"/>
      <c r="G236" s="15"/>
      <c r="H236" s="15"/>
      <c r="I236" s="15"/>
      <c r="J236" s="15"/>
      <c r="K236" s="15"/>
    </row>
    <row r="237" spans="1:11" s="16" customFormat="1" ht="12.9" customHeight="1">
      <c r="A237" s="85"/>
      <c r="B237" s="15"/>
      <c r="C237" s="15"/>
      <c r="D237" s="15"/>
      <c r="E237" s="15"/>
      <c r="F237" s="15"/>
      <c r="G237" s="15"/>
      <c r="H237" s="15"/>
      <c r="I237" s="15"/>
      <c r="J237" s="15"/>
      <c r="K237" s="15"/>
    </row>
    <row r="238" spans="1:11" s="16" customFormat="1" ht="12.9" customHeight="1">
      <c r="A238" s="85"/>
      <c r="B238" s="15"/>
      <c r="C238" s="15"/>
      <c r="D238" s="15"/>
      <c r="E238" s="15"/>
      <c r="F238" s="15"/>
      <c r="G238" s="15"/>
      <c r="H238" s="15"/>
      <c r="I238" s="15"/>
      <c r="J238" s="15"/>
      <c r="K238" s="15"/>
    </row>
    <row r="239" spans="1:11" s="16" customFormat="1" ht="12.9" customHeight="1">
      <c r="A239" s="85"/>
      <c r="B239" s="15"/>
      <c r="C239" s="15"/>
      <c r="D239" s="15"/>
      <c r="E239" s="15"/>
      <c r="F239" s="15"/>
      <c r="G239" s="15"/>
      <c r="H239" s="15"/>
      <c r="I239" s="15"/>
      <c r="J239" s="15"/>
      <c r="K239" s="15"/>
    </row>
    <row r="240" spans="1:11" s="16" customFormat="1" ht="12.9" customHeight="1">
      <c r="A240" s="85"/>
      <c r="B240" s="15"/>
      <c r="C240" s="15"/>
      <c r="D240" s="15"/>
      <c r="E240" s="15"/>
      <c r="F240" s="15"/>
      <c r="G240" s="15"/>
      <c r="H240" s="15"/>
      <c r="I240" s="15"/>
      <c r="J240" s="15"/>
      <c r="K240" s="15"/>
    </row>
    <row r="241" spans="1:11" s="16" customFormat="1" ht="12.9" customHeight="1">
      <c r="A241" s="85"/>
      <c r="B241" s="15"/>
      <c r="C241" s="15"/>
      <c r="D241" s="15"/>
      <c r="E241" s="15"/>
      <c r="F241" s="15"/>
      <c r="G241" s="15"/>
      <c r="H241" s="15"/>
      <c r="I241" s="15"/>
      <c r="J241" s="15"/>
      <c r="K241" s="15"/>
    </row>
    <row r="242" spans="1:11" s="16" customFormat="1" ht="12.9" customHeight="1">
      <c r="A242" s="85"/>
      <c r="B242" s="15"/>
      <c r="C242" s="15"/>
      <c r="D242" s="15"/>
      <c r="E242" s="15"/>
      <c r="F242" s="15"/>
      <c r="G242" s="15"/>
      <c r="H242" s="15"/>
      <c r="I242" s="15"/>
      <c r="J242" s="15"/>
      <c r="K242" s="15"/>
    </row>
    <row r="243" spans="1:11" s="16" customFormat="1" ht="12.9" customHeight="1">
      <c r="A243" s="85"/>
      <c r="B243" s="15"/>
      <c r="C243" s="15"/>
      <c r="D243" s="15"/>
      <c r="E243" s="15"/>
      <c r="F243" s="15"/>
      <c r="G243" s="15"/>
      <c r="H243" s="15"/>
      <c r="I243" s="15"/>
      <c r="J243" s="15"/>
      <c r="K243" s="15"/>
    </row>
    <row r="244" spans="1:11" s="16" customFormat="1" ht="12.9" customHeight="1">
      <c r="A244" s="85"/>
      <c r="B244" s="15"/>
      <c r="C244" s="15"/>
      <c r="D244" s="15"/>
      <c r="E244" s="15"/>
      <c r="F244" s="15"/>
      <c r="G244" s="15"/>
      <c r="H244" s="15"/>
      <c r="I244" s="15"/>
      <c r="J244" s="15"/>
      <c r="K244" s="15"/>
    </row>
    <row r="245" spans="1:11" s="16" customFormat="1" ht="12.9" customHeight="1">
      <c r="A245" s="85"/>
      <c r="B245" s="15"/>
      <c r="C245" s="15"/>
      <c r="D245" s="15"/>
      <c r="E245" s="15"/>
      <c r="F245" s="15"/>
      <c r="G245" s="15"/>
      <c r="H245" s="15"/>
      <c r="I245" s="15"/>
      <c r="J245" s="15"/>
      <c r="K245" s="15"/>
    </row>
    <row r="246" spans="1:11" s="16" customFormat="1" ht="12.9" customHeight="1">
      <c r="A246" s="85"/>
      <c r="B246" s="15"/>
      <c r="C246" s="15"/>
      <c r="D246" s="15"/>
      <c r="E246" s="15"/>
      <c r="F246" s="15"/>
      <c r="G246" s="15"/>
      <c r="H246" s="15"/>
      <c r="I246" s="15"/>
      <c r="J246" s="15"/>
      <c r="K246" s="15"/>
    </row>
    <row r="247" spans="1:11" s="16" customFormat="1" ht="12.9" customHeight="1">
      <c r="A247" s="85"/>
      <c r="B247" s="15"/>
      <c r="C247" s="15"/>
      <c r="D247" s="15"/>
      <c r="E247" s="15"/>
      <c r="F247" s="15"/>
      <c r="G247" s="15"/>
      <c r="H247" s="15"/>
      <c r="I247" s="15"/>
      <c r="J247" s="15"/>
      <c r="K247" s="15"/>
    </row>
    <row r="248" spans="1:11" s="16" customFormat="1" ht="12.9" customHeight="1">
      <c r="A248" s="85"/>
      <c r="B248" s="15"/>
      <c r="C248" s="15"/>
      <c r="D248" s="15"/>
      <c r="E248" s="15"/>
      <c r="F248" s="15"/>
      <c r="G248" s="15"/>
      <c r="H248" s="15"/>
      <c r="I248" s="15"/>
      <c r="J248" s="15"/>
      <c r="K248" s="15"/>
    </row>
    <row r="249" spans="1:11" s="16" customFormat="1" ht="12.9" customHeight="1">
      <c r="A249" s="85"/>
      <c r="B249" s="15"/>
      <c r="C249" s="15"/>
      <c r="D249" s="15"/>
      <c r="E249" s="15"/>
      <c r="F249" s="15"/>
      <c r="G249" s="15"/>
      <c r="H249" s="15"/>
      <c r="I249" s="15"/>
      <c r="J249" s="15"/>
      <c r="K249" s="15"/>
    </row>
    <row r="250" spans="1:11" s="16" customFormat="1" ht="12.9" customHeight="1">
      <c r="A250" s="85"/>
      <c r="B250" s="15"/>
      <c r="C250" s="15"/>
      <c r="D250" s="15"/>
      <c r="E250" s="15"/>
      <c r="F250" s="15"/>
      <c r="G250" s="15"/>
      <c r="H250" s="15"/>
      <c r="I250" s="15"/>
      <c r="J250" s="15"/>
      <c r="K250" s="15"/>
    </row>
    <row r="251" spans="1:11" s="16" customFormat="1" ht="12.9" customHeight="1">
      <c r="A251" s="85"/>
      <c r="B251" s="15"/>
      <c r="C251" s="15"/>
      <c r="D251" s="15"/>
      <c r="E251" s="15"/>
      <c r="F251" s="15"/>
      <c r="G251" s="15"/>
      <c r="H251" s="15"/>
      <c r="I251" s="15"/>
      <c r="J251" s="15"/>
      <c r="K251" s="15"/>
    </row>
    <row r="252" spans="1:11" s="16" customFormat="1" ht="12.9" customHeight="1">
      <c r="A252" s="85"/>
      <c r="B252" s="15"/>
      <c r="C252" s="15"/>
      <c r="D252" s="15"/>
      <c r="E252" s="15"/>
      <c r="F252" s="15"/>
      <c r="G252" s="15"/>
      <c r="H252" s="15"/>
      <c r="I252" s="15"/>
      <c r="J252" s="15"/>
      <c r="K252" s="15"/>
    </row>
    <row r="253" spans="1:11" s="16" customFormat="1" ht="12.9" customHeight="1">
      <c r="A253" s="85"/>
      <c r="B253" s="15"/>
      <c r="C253" s="15"/>
      <c r="D253" s="15"/>
      <c r="E253" s="15"/>
      <c r="F253" s="15"/>
      <c r="G253" s="15"/>
      <c r="H253" s="15"/>
      <c r="I253" s="15"/>
      <c r="J253" s="15"/>
      <c r="K253" s="15"/>
    </row>
    <row r="254" spans="1:11" s="16" customFormat="1" ht="12.9" customHeight="1">
      <c r="A254" s="85"/>
      <c r="B254" s="15"/>
      <c r="C254" s="15"/>
      <c r="D254" s="15"/>
      <c r="E254" s="15"/>
      <c r="F254" s="15"/>
      <c r="G254" s="15"/>
      <c r="H254" s="15"/>
      <c r="I254" s="15"/>
      <c r="J254" s="15"/>
      <c r="K254" s="15"/>
    </row>
    <row r="255" spans="1:11" s="16" customFormat="1" ht="12.9" customHeight="1">
      <c r="A255" s="85"/>
      <c r="B255" s="15"/>
      <c r="C255" s="15"/>
      <c r="D255" s="15"/>
      <c r="E255" s="15"/>
      <c r="F255" s="15"/>
      <c r="G255" s="15"/>
      <c r="H255" s="15"/>
      <c r="I255" s="15"/>
      <c r="J255" s="15"/>
      <c r="K255" s="15"/>
    </row>
    <row r="256" spans="1:11" s="16" customFormat="1" ht="12.9" customHeight="1">
      <c r="A256" s="85"/>
      <c r="B256" s="15"/>
      <c r="C256" s="15"/>
      <c r="D256" s="15"/>
      <c r="E256" s="15"/>
      <c r="F256" s="15"/>
      <c r="G256" s="15"/>
      <c r="H256" s="15"/>
      <c r="I256" s="15"/>
      <c r="J256" s="15"/>
      <c r="K256" s="15"/>
    </row>
    <row r="257" spans="1:11" s="16" customFormat="1" ht="12.9" customHeight="1">
      <c r="A257" s="85"/>
      <c r="B257" s="15"/>
      <c r="C257" s="15"/>
      <c r="D257" s="15"/>
      <c r="E257" s="15"/>
      <c r="F257" s="15"/>
      <c r="G257" s="15"/>
      <c r="H257" s="15"/>
      <c r="I257" s="15"/>
      <c r="J257" s="15"/>
      <c r="K257" s="15"/>
    </row>
    <row r="258" spans="1:11" s="16" customFormat="1" ht="12.9" customHeight="1">
      <c r="A258" s="85"/>
      <c r="B258" s="15"/>
      <c r="C258" s="15"/>
      <c r="D258" s="15"/>
      <c r="E258" s="15"/>
      <c r="F258" s="15"/>
      <c r="G258" s="15"/>
      <c r="H258" s="15"/>
      <c r="I258" s="15"/>
      <c r="J258" s="15"/>
      <c r="K258" s="15"/>
    </row>
    <row r="259" spans="1:11" s="16" customFormat="1" ht="12.9" customHeight="1">
      <c r="A259" s="85"/>
      <c r="B259" s="15"/>
      <c r="C259" s="15"/>
      <c r="D259" s="15"/>
      <c r="E259" s="15"/>
      <c r="F259" s="15"/>
      <c r="G259" s="15"/>
      <c r="H259" s="15"/>
      <c r="I259" s="15"/>
      <c r="J259" s="15"/>
      <c r="K259" s="15"/>
    </row>
    <row r="260" spans="1:11" s="16" customFormat="1" ht="12.9" customHeight="1">
      <c r="A260" s="85"/>
      <c r="B260" s="15"/>
      <c r="C260" s="15"/>
      <c r="D260" s="15"/>
      <c r="E260" s="15"/>
      <c r="F260" s="15"/>
      <c r="G260" s="15"/>
      <c r="H260" s="15"/>
      <c r="I260" s="15"/>
      <c r="J260" s="15"/>
      <c r="K260" s="15"/>
    </row>
    <row r="261" spans="1:11" s="16" customFormat="1" ht="12.9" customHeight="1">
      <c r="A261" s="85"/>
      <c r="B261" s="15"/>
      <c r="C261" s="15"/>
      <c r="D261" s="15"/>
      <c r="E261" s="15"/>
      <c r="F261" s="15"/>
      <c r="G261" s="15"/>
      <c r="H261" s="15"/>
      <c r="I261" s="15"/>
      <c r="J261" s="15"/>
      <c r="K261" s="15"/>
    </row>
    <row r="262" spans="1:11" s="16" customFormat="1" ht="12.9" customHeight="1">
      <c r="A262" s="85"/>
      <c r="B262" s="15"/>
      <c r="C262" s="15"/>
      <c r="D262" s="15"/>
      <c r="E262" s="15"/>
      <c r="F262" s="15"/>
      <c r="G262" s="15"/>
      <c r="H262" s="15"/>
      <c r="I262" s="15"/>
      <c r="J262" s="15"/>
      <c r="K262" s="15"/>
    </row>
    <row r="263" spans="1:11" s="16" customFormat="1" ht="12.9" customHeight="1">
      <c r="A263" s="85"/>
      <c r="B263" s="15"/>
      <c r="C263" s="15"/>
      <c r="D263" s="15"/>
      <c r="E263" s="15"/>
      <c r="F263" s="15"/>
      <c r="G263" s="15"/>
      <c r="H263" s="15"/>
      <c r="I263" s="15"/>
      <c r="J263" s="15"/>
      <c r="K263" s="15"/>
    </row>
    <row r="264" spans="1:11" s="16" customFormat="1" ht="12.9" customHeight="1">
      <c r="A264" s="85"/>
      <c r="B264" s="15"/>
      <c r="C264" s="15"/>
      <c r="D264" s="15"/>
      <c r="E264" s="15"/>
      <c r="F264" s="15"/>
      <c r="G264" s="15"/>
      <c r="H264" s="15"/>
      <c r="I264" s="15"/>
      <c r="J264" s="15"/>
      <c r="K264" s="15"/>
    </row>
    <row r="265" spans="1:11" s="16" customFormat="1" ht="12.9" customHeight="1">
      <c r="A265" s="85"/>
      <c r="B265" s="15"/>
      <c r="C265" s="15"/>
      <c r="D265" s="15"/>
      <c r="E265" s="15"/>
      <c r="F265" s="15"/>
      <c r="G265" s="15"/>
      <c r="H265" s="15"/>
      <c r="I265" s="15"/>
      <c r="J265" s="15"/>
      <c r="K265" s="15"/>
    </row>
    <row r="266" spans="1:11" s="16" customFormat="1" ht="12.9" customHeight="1">
      <c r="A266" s="85"/>
      <c r="B266" s="15"/>
      <c r="C266" s="15"/>
      <c r="D266" s="15"/>
      <c r="E266" s="15"/>
      <c r="F266" s="15"/>
      <c r="G266" s="15"/>
      <c r="H266" s="15"/>
      <c r="I266" s="15"/>
      <c r="J266" s="15"/>
      <c r="K266" s="15"/>
    </row>
    <row r="267" spans="1:11" s="16" customFormat="1" ht="12.9" customHeight="1">
      <c r="A267" s="85"/>
      <c r="B267" s="15"/>
      <c r="C267" s="15"/>
      <c r="D267" s="15"/>
      <c r="E267" s="15"/>
      <c r="F267" s="15"/>
      <c r="G267" s="15"/>
      <c r="H267" s="15"/>
      <c r="I267" s="15"/>
      <c r="J267" s="15"/>
      <c r="K267" s="15"/>
    </row>
    <row r="268" spans="1:11" s="16" customFormat="1" ht="12.9" customHeight="1">
      <c r="A268" s="85"/>
      <c r="B268" s="15"/>
      <c r="C268" s="15"/>
      <c r="D268" s="15"/>
      <c r="E268" s="15"/>
      <c r="F268" s="15"/>
      <c r="G268" s="15"/>
      <c r="H268" s="15"/>
      <c r="I268" s="15"/>
      <c r="J268" s="15"/>
      <c r="K268" s="15"/>
    </row>
    <row r="269" spans="1:11" s="16" customFormat="1" ht="12.9" customHeight="1">
      <c r="A269" s="85"/>
      <c r="B269" s="15"/>
      <c r="C269" s="15"/>
      <c r="D269" s="15"/>
      <c r="E269" s="15"/>
      <c r="F269" s="15"/>
      <c r="G269" s="15"/>
      <c r="H269" s="15"/>
      <c r="I269" s="15"/>
      <c r="J269" s="15"/>
      <c r="K269" s="15"/>
    </row>
    <row r="270" spans="1:11" s="16" customFormat="1" ht="12.9" customHeight="1">
      <c r="A270" s="85"/>
      <c r="B270" s="15"/>
      <c r="C270" s="15"/>
      <c r="D270" s="15"/>
      <c r="E270" s="15"/>
      <c r="F270" s="15"/>
      <c r="G270" s="15"/>
      <c r="H270" s="15"/>
      <c r="I270" s="15"/>
      <c r="J270" s="15"/>
      <c r="K270" s="15"/>
    </row>
    <row r="271" spans="1:11" s="16" customFormat="1" ht="12.9" customHeight="1">
      <c r="A271" s="85"/>
      <c r="B271" s="15"/>
      <c r="C271" s="15"/>
      <c r="D271" s="15"/>
      <c r="E271" s="15"/>
      <c r="F271" s="15"/>
      <c r="G271" s="15"/>
      <c r="H271" s="15"/>
      <c r="I271" s="15"/>
      <c r="J271" s="15"/>
      <c r="K271" s="15"/>
    </row>
    <row r="272" spans="1:11" s="16" customFormat="1" ht="12.9" customHeight="1">
      <c r="A272" s="85"/>
      <c r="B272" s="15"/>
      <c r="C272" s="15"/>
      <c r="D272" s="15"/>
      <c r="E272" s="15"/>
      <c r="F272" s="15"/>
      <c r="G272" s="15"/>
      <c r="H272" s="15"/>
      <c r="I272" s="15"/>
      <c r="J272" s="15"/>
      <c r="K272" s="15"/>
    </row>
    <row r="273" spans="1:11" s="16" customFormat="1" ht="12.9" customHeight="1">
      <c r="A273" s="85"/>
      <c r="B273" s="15"/>
      <c r="C273" s="15"/>
      <c r="D273" s="15"/>
      <c r="E273" s="15"/>
      <c r="F273" s="15"/>
      <c r="G273" s="15"/>
      <c r="H273" s="15"/>
      <c r="I273" s="15"/>
      <c r="J273" s="15"/>
      <c r="K273" s="15"/>
    </row>
    <row r="274" spans="1:11" s="16" customFormat="1" ht="12.9" customHeight="1">
      <c r="A274" s="85"/>
      <c r="B274" s="15"/>
      <c r="C274" s="15"/>
      <c r="D274" s="15"/>
      <c r="E274" s="15"/>
      <c r="F274" s="15"/>
      <c r="G274" s="15"/>
      <c r="H274" s="15"/>
      <c r="I274" s="15"/>
      <c r="J274" s="15"/>
      <c r="K274" s="15"/>
    </row>
    <row r="275" spans="1:11" s="16" customFormat="1" ht="12.9" customHeight="1">
      <c r="A275" s="85"/>
      <c r="B275" s="15"/>
      <c r="C275" s="15"/>
      <c r="D275" s="15"/>
      <c r="E275" s="15"/>
      <c r="F275" s="15"/>
      <c r="G275" s="15"/>
      <c r="H275" s="15"/>
      <c r="I275" s="15"/>
      <c r="J275" s="15"/>
      <c r="K275" s="15"/>
    </row>
  </sheetData>
  <sheetProtection algorithmName="SHA-512" hashValue="xUVqMPLYJNWE4+Mb0pyR8eFcz34pmgew/+//jP1sRJ1DCqC9bcCnRFcql2aMEJy5LS6jR6GYUYsYchECyC1rCw==" saltValue="992DzBFD661IBHdVCMOplQ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9.26953125" defaultRowHeight="14.5"/>
  <cols>
    <col min="1" max="1" width="102.36328125" style="29" customWidth="1"/>
    <col min="2" max="16384" width="9.26953125" style="29"/>
  </cols>
  <sheetData>
    <row r="1" ht="409.5" customHeight="1"/>
  </sheetData>
  <sheetProtection algorithmName="SHA-512" hashValue="xDO9sPmL1FPhExE4y8KSIOEMIrSSQK3RstkWdVWrB7FhzzLxbPo8nLypOwgHD98cYDaR48HKiTeKqO+zqbyTNg==" saltValue="3SCkqxsEmIQy2thrTSsJng==" spinCount="100000" sheet="1" objects="1" scenarios="1" formatCells="0"/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CommandButton2">
          <controlPr autoLine="0" autoPict="0" r:id="rId4">
            <anchor moveWithCells="1">
              <from>
                <xdr:col>0</xdr:col>
                <xdr:colOff>5778500</xdr:colOff>
                <xdr:row>0</xdr:row>
                <xdr:rowOff>2438400</xdr:rowOff>
              </from>
              <to>
                <xdr:col>0</xdr:col>
                <xdr:colOff>8267700</xdr:colOff>
                <xdr:row>0</xdr:row>
                <xdr:rowOff>3194050</xdr:rowOff>
              </to>
            </anchor>
          </controlPr>
        </control>
      </mc:Choice>
      <mc:Fallback>
        <control shapeId="6152" r:id="rId3" name="CommandButton2"/>
      </mc:Fallback>
    </mc:AlternateContent>
    <mc:AlternateContent xmlns:mc="http://schemas.openxmlformats.org/markup-compatibility/2006">
      <mc:Choice Requires="x14">
        <control shapeId="6151" r:id="rId5" name="CommandButton7">
          <controlPr autoLine="0" r:id="rId6">
            <anchor moveWithCells="1">
              <from>
                <xdr:col>1</xdr:col>
                <xdr:colOff>0</xdr:colOff>
                <xdr:row>0</xdr:row>
                <xdr:rowOff>1587500</xdr:rowOff>
              </from>
              <to>
                <xdr:col>4</xdr:col>
                <xdr:colOff>127000</xdr:colOff>
                <xdr:row>0</xdr:row>
                <xdr:rowOff>2076450</xdr:rowOff>
              </to>
            </anchor>
          </controlPr>
        </control>
      </mc:Choice>
      <mc:Fallback>
        <control shapeId="6151" r:id="rId5" name="CommandButton7"/>
      </mc:Fallback>
    </mc:AlternateContent>
    <mc:AlternateContent xmlns:mc="http://schemas.openxmlformats.org/markup-compatibility/2006">
      <mc:Choice Requires="x14">
        <control shapeId="6150" r:id="rId7" name="CommandButton6">
          <controlPr autoLine="0" r:id="rId8">
            <anchor moveWithCells="1">
              <from>
                <xdr:col>0</xdr:col>
                <xdr:colOff>2921000</xdr:colOff>
                <xdr:row>0</xdr:row>
                <xdr:rowOff>1568450</xdr:rowOff>
              </from>
              <to>
                <xdr:col>0</xdr:col>
                <xdr:colOff>4991100</xdr:colOff>
                <xdr:row>0</xdr:row>
                <xdr:rowOff>2057400</xdr:rowOff>
              </to>
            </anchor>
          </controlPr>
        </control>
      </mc:Choice>
      <mc:Fallback>
        <control shapeId="6150" r:id="rId7" name="CommandButton6"/>
      </mc:Fallback>
    </mc:AlternateContent>
    <mc:AlternateContent xmlns:mc="http://schemas.openxmlformats.org/markup-compatibility/2006">
      <mc:Choice Requires="x14">
        <control shapeId="6149" r:id="rId9" name="CommandButton5">
          <controlPr autoLine="0" r:id="rId10">
            <anchor moveWithCells="1">
              <from>
                <xdr:col>1</xdr:col>
                <xdr:colOff>0</xdr:colOff>
                <xdr:row>0</xdr:row>
                <xdr:rowOff>165100</xdr:rowOff>
              </from>
              <to>
                <xdr:col>4</xdr:col>
                <xdr:colOff>127000</xdr:colOff>
                <xdr:row>0</xdr:row>
                <xdr:rowOff>654050</xdr:rowOff>
              </to>
            </anchor>
          </controlPr>
        </control>
      </mc:Choice>
      <mc:Fallback>
        <control shapeId="6149" r:id="rId9" name="CommandButton5"/>
      </mc:Fallback>
    </mc:AlternateContent>
    <mc:AlternateContent xmlns:mc="http://schemas.openxmlformats.org/markup-compatibility/2006">
      <mc:Choice Requires="x14">
        <control shapeId="6148" r:id="rId11" name="CmdBtnDeletePaper">
          <controlPr autoLine="0" r:id="rId12">
            <anchor moveWithCells="1">
              <from>
                <xdr:col>0</xdr:col>
                <xdr:colOff>2914650</xdr:colOff>
                <xdr:row>0</xdr:row>
                <xdr:rowOff>171450</xdr:rowOff>
              </from>
              <to>
                <xdr:col>0</xdr:col>
                <xdr:colOff>4984750</xdr:colOff>
                <xdr:row>0</xdr:row>
                <xdr:rowOff>660400</xdr:rowOff>
              </to>
            </anchor>
          </controlPr>
        </control>
      </mc:Choice>
      <mc:Fallback>
        <control shapeId="6148" r:id="rId11" name="CmdBtnDeletePaper"/>
      </mc:Fallback>
    </mc:AlternateContent>
    <mc:AlternateContent xmlns:mc="http://schemas.openxmlformats.org/markup-compatibility/2006">
      <mc:Choice Requires="x14">
        <control shapeId="6147" r:id="rId13" name="CmdBtnSetDataValidation">
          <controlPr autoLine="0" autoPict="0" r:id="rId14">
            <anchor moveWithCells="1">
              <from>
                <xdr:col>0</xdr:col>
                <xdr:colOff>254000</xdr:colOff>
                <xdr:row>0</xdr:row>
                <xdr:rowOff>1562100</xdr:rowOff>
              </from>
              <to>
                <xdr:col>0</xdr:col>
                <xdr:colOff>2813050</xdr:colOff>
                <xdr:row>0</xdr:row>
                <xdr:rowOff>2152650</xdr:rowOff>
              </to>
            </anchor>
          </controlPr>
        </control>
      </mc:Choice>
      <mc:Fallback>
        <control shapeId="6147" r:id="rId13" name="CmdBtnSetDataValidation"/>
      </mc:Fallback>
    </mc:AlternateContent>
    <mc:AlternateContent xmlns:mc="http://schemas.openxmlformats.org/markup-compatibility/2006">
      <mc:Choice Requires="x14">
        <control shapeId="6146" r:id="rId15" name="CmdBtnInitialiseCheckListSystem">
          <controlPr autoLine="0" autoPict="0" r:id="rId16">
            <anchor moveWithCells="1">
              <from>
                <xdr:col>0</xdr:col>
                <xdr:colOff>254000</xdr:colOff>
                <xdr:row>0</xdr:row>
                <xdr:rowOff>1028700</xdr:rowOff>
              </from>
              <to>
                <xdr:col>0</xdr:col>
                <xdr:colOff>2832100</xdr:colOff>
                <xdr:row>0</xdr:row>
                <xdr:rowOff>1390650</xdr:rowOff>
              </to>
            </anchor>
          </controlPr>
        </control>
      </mc:Choice>
      <mc:Fallback>
        <control shapeId="6146" r:id="rId15" name="CmdBtnInitialiseCheckListSystem"/>
      </mc:Fallback>
    </mc:AlternateContent>
    <mc:AlternateContent xmlns:mc="http://schemas.openxmlformats.org/markup-compatibility/2006">
      <mc:Choice Requires="x14">
        <control shapeId="6145" r:id="rId17" name="CommandButton1">
          <controlPr autoLine="0" r:id="rId18">
            <anchor moveWithCells="1">
              <from>
                <xdr:col>0</xdr:col>
                <xdr:colOff>241300</xdr:colOff>
                <xdr:row>0</xdr:row>
                <xdr:rowOff>152400</xdr:rowOff>
              </from>
              <to>
                <xdr:col>0</xdr:col>
                <xdr:colOff>2393950</xdr:colOff>
                <xdr:row>0</xdr:row>
                <xdr:rowOff>704850</xdr:rowOff>
              </to>
            </anchor>
          </controlPr>
        </control>
      </mc:Choice>
      <mc:Fallback>
        <control shapeId="6145" r:id="rId1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0"/>
  <sheetViews>
    <sheetView zoomScale="80" zoomScaleNormal="80" workbookViewId="0">
      <selection activeCell="K14" sqref="K14"/>
    </sheetView>
  </sheetViews>
  <sheetFormatPr defaultColWidth="9.1796875" defaultRowHeight="14.5"/>
  <cols>
    <col min="1" max="1" width="2.81640625" style="133" bestFit="1" customWidth="1"/>
    <col min="2" max="2" width="2.81640625" customWidth="1"/>
    <col min="3" max="3" width="14.36328125" style="51" customWidth="1"/>
    <col min="4" max="4" width="12.36328125" style="46" customWidth="1"/>
    <col min="5" max="5" width="49" style="51" customWidth="1"/>
    <col min="6" max="6" width="17.1796875" bestFit="1" customWidth="1"/>
    <col min="7" max="7" width="11.36328125" customWidth="1"/>
    <col min="8" max="8" width="10.81640625" customWidth="1"/>
    <col min="9" max="9" width="11.54296875" customWidth="1"/>
    <col min="10" max="10" width="11.54296875" style="44" customWidth="1"/>
    <col min="12" max="12" width="2.81640625" style="44" customWidth="1"/>
    <col min="13" max="13" width="14.26953125" style="53" customWidth="1"/>
    <col min="14" max="14" width="10.7265625" style="53" customWidth="1"/>
    <col min="15" max="15" width="12.7265625" style="53" customWidth="1"/>
    <col min="16" max="16" width="9.54296875" style="53" customWidth="1"/>
    <col min="17" max="17" width="4.81640625" style="53" customWidth="1"/>
    <col min="18" max="18" width="11.81640625" style="53" customWidth="1"/>
    <col min="19" max="20" width="9.26953125" style="53"/>
    <col min="21" max="21" width="9.26953125" style="44"/>
  </cols>
  <sheetData>
    <row r="1" spans="1:21" ht="39.5" thickBot="1">
      <c r="A1" s="214" t="s">
        <v>55</v>
      </c>
      <c r="B1" s="215"/>
      <c r="C1" s="216"/>
      <c r="D1" s="45" t="s">
        <v>69</v>
      </c>
      <c r="E1" s="128" t="s">
        <v>70</v>
      </c>
      <c r="F1" s="56" t="s">
        <v>71</v>
      </c>
      <c r="G1" s="57" t="s">
        <v>72</v>
      </c>
      <c r="H1" s="58" t="s">
        <v>66</v>
      </c>
      <c r="I1" s="58" t="s">
        <v>60</v>
      </c>
      <c r="J1" s="58" t="s">
        <v>67</v>
      </c>
      <c r="K1" s="47" t="s">
        <v>59</v>
      </c>
      <c r="L1" s="50"/>
      <c r="M1" s="75" t="s">
        <v>63</v>
      </c>
      <c r="N1" s="75" t="s">
        <v>62</v>
      </c>
      <c r="O1" s="75" t="s">
        <v>61</v>
      </c>
      <c r="P1" s="73" t="s">
        <v>64</v>
      </c>
      <c r="Q1" s="52"/>
      <c r="R1" s="77" t="s">
        <v>81</v>
      </c>
      <c r="S1" s="78" t="s">
        <v>82</v>
      </c>
      <c r="T1" s="78" t="s">
        <v>83</v>
      </c>
      <c r="U1" s="77" t="s">
        <v>80</v>
      </c>
    </row>
    <row r="2" spans="1:21" ht="15" customHeight="1" thickBot="1">
      <c r="A2" s="204" t="s">
        <v>121</v>
      </c>
      <c r="B2" s="130" t="s">
        <v>24</v>
      </c>
      <c r="C2" s="158" t="s">
        <v>151</v>
      </c>
      <c r="D2" s="96">
        <v>1</v>
      </c>
      <c r="E2" s="129" t="s">
        <v>161</v>
      </c>
      <c r="F2" s="150" t="s">
        <v>58</v>
      </c>
      <c r="G2" s="149">
        <v>2</v>
      </c>
      <c r="H2" s="79">
        <v>2</v>
      </c>
      <c r="I2" s="79">
        <v>4</v>
      </c>
      <c r="J2" s="79">
        <v>6</v>
      </c>
      <c r="M2" s="76" t="s">
        <v>39</v>
      </c>
      <c r="N2" s="76">
        <v>5</v>
      </c>
      <c r="O2" s="76">
        <v>1</v>
      </c>
      <c r="P2" s="74">
        <v>5</v>
      </c>
      <c r="R2" s="76">
        <v>1</v>
      </c>
      <c r="S2" s="76">
        <v>0</v>
      </c>
      <c r="T2" s="76">
        <v>50</v>
      </c>
      <c r="U2" s="79" t="s">
        <v>84</v>
      </c>
    </row>
    <row r="3" spans="1:21" ht="15" customHeight="1" thickBot="1">
      <c r="A3" s="205"/>
      <c r="B3" s="130" t="s">
        <v>25</v>
      </c>
      <c r="C3" s="158" t="s">
        <v>152</v>
      </c>
      <c r="D3" s="96">
        <v>2</v>
      </c>
      <c r="E3" s="129" t="s">
        <v>161</v>
      </c>
      <c r="F3" s="150" t="s">
        <v>58</v>
      </c>
      <c r="G3" s="149">
        <v>3</v>
      </c>
      <c r="H3" s="79">
        <v>2</v>
      </c>
      <c r="I3" s="79">
        <v>3</v>
      </c>
      <c r="J3" s="79">
        <v>5</v>
      </c>
      <c r="M3" s="76" t="s">
        <v>65</v>
      </c>
      <c r="N3" s="76">
        <v>2</v>
      </c>
      <c r="O3" s="76">
        <v>2</v>
      </c>
      <c r="P3" s="74">
        <v>4</v>
      </c>
      <c r="R3" s="76">
        <v>2</v>
      </c>
      <c r="S3" s="76">
        <v>51</v>
      </c>
      <c r="T3" s="76">
        <v>79</v>
      </c>
      <c r="U3" s="79" t="s">
        <v>85</v>
      </c>
    </row>
    <row r="4" spans="1:21" ht="15" customHeight="1">
      <c r="A4" s="205"/>
      <c r="B4" s="208" t="s">
        <v>26</v>
      </c>
      <c r="C4" s="208" t="s">
        <v>153</v>
      </c>
      <c r="D4" s="96">
        <v>3</v>
      </c>
      <c r="E4" s="129" t="s">
        <v>161</v>
      </c>
      <c r="F4" s="150" t="s">
        <v>57</v>
      </c>
      <c r="G4" s="149">
        <v>1</v>
      </c>
      <c r="H4" s="79">
        <v>5</v>
      </c>
      <c r="I4" s="79">
        <v>5</v>
      </c>
      <c r="J4" s="79">
        <v>10</v>
      </c>
      <c r="M4" s="76"/>
      <c r="N4" s="76"/>
      <c r="O4" s="76">
        <v>3</v>
      </c>
      <c r="P4" s="76">
        <v>3</v>
      </c>
      <c r="Q4" s="54"/>
      <c r="R4" s="80">
        <v>3</v>
      </c>
      <c r="S4" s="80">
        <v>80</v>
      </c>
      <c r="T4" s="80">
        <v>100</v>
      </c>
      <c r="U4" s="81" t="s">
        <v>86</v>
      </c>
    </row>
    <row r="5" spans="1:21" ht="15" customHeight="1" thickBot="1">
      <c r="A5" s="205"/>
      <c r="B5" s="209"/>
      <c r="C5" s="209"/>
      <c r="D5" s="96">
        <v>4</v>
      </c>
      <c r="E5" s="129" t="s">
        <v>161</v>
      </c>
      <c r="F5" s="150" t="s">
        <v>58</v>
      </c>
      <c r="G5" s="149">
        <v>2</v>
      </c>
      <c r="H5" s="79">
        <v>2</v>
      </c>
      <c r="I5" s="79">
        <v>4</v>
      </c>
      <c r="J5" s="79">
        <v>6</v>
      </c>
      <c r="P5" s="104"/>
      <c r="Q5" s="104"/>
      <c r="R5" s="72"/>
    </row>
    <row r="6" spans="1:21" ht="15" customHeight="1" thickBot="1">
      <c r="A6" s="206" t="s">
        <v>120</v>
      </c>
      <c r="B6" s="130" t="s">
        <v>27</v>
      </c>
      <c r="C6" s="158" t="s">
        <v>154</v>
      </c>
      <c r="D6" s="96">
        <v>5</v>
      </c>
      <c r="E6" s="129" t="s">
        <v>161</v>
      </c>
      <c r="F6" s="150" t="s">
        <v>57</v>
      </c>
      <c r="G6" s="149">
        <v>1</v>
      </c>
      <c r="H6" s="79">
        <v>5</v>
      </c>
      <c r="I6" s="79">
        <v>5</v>
      </c>
      <c r="J6" s="79">
        <v>10</v>
      </c>
      <c r="R6" s="82"/>
    </row>
    <row r="7" spans="1:21" ht="15" customHeight="1">
      <c r="A7" s="207"/>
      <c r="B7" s="208" t="s">
        <v>28</v>
      </c>
      <c r="C7" s="208" t="s">
        <v>155</v>
      </c>
      <c r="D7" s="96">
        <v>6</v>
      </c>
      <c r="E7" s="129" t="s">
        <v>161</v>
      </c>
      <c r="F7" s="150" t="s">
        <v>58</v>
      </c>
      <c r="G7" s="149">
        <v>3</v>
      </c>
      <c r="H7" s="79">
        <v>2</v>
      </c>
      <c r="I7" s="79">
        <v>3</v>
      </c>
      <c r="J7" s="79">
        <v>5</v>
      </c>
      <c r="R7" s="82"/>
    </row>
    <row r="8" spans="1:21" ht="15" customHeight="1">
      <c r="A8" s="207"/>
      <c r="B8" s="210"/>
      <c r="C8" s="210"/>
      <c r="D8" s="96">
        <v>7</v>
      </c>
      <c r="E8" s="129" t="s">
        <v>161</v>
      </c>
      <c r="F8" s="150" t="s">
        <v>57</v>
      </c>
      <c r="G8" s="149">
        <v>1</v>
      </c>
      <c r="H8" s="79">
        <v>5</v>
      </c>
      <c r="I8" s="79">
        <v>5</v>
      </c>
      <c r="J8" s="79">
        <v>10</v>
      </c>
      <c r="R8" s="82"/>
    </row>
    <row r="9" spans="1:21" ht="15" customHeight="1" thickBot="1">
      <c r="A9" s="207"/>
      <c r="B9" s="210"/>
      <c r="C9" s="210"/>
      <c r="D9" s="96">
        <v>8</v>
      </c>
      <c r="E9" s="129" t="s">
        <v>161</v>
      </c>
      <c r="F9" s="150" t="s">
        <v>57</v>
      </c>
      <c r="G9" s="149">
        <v>1</v>
      </c>
      <c r="H9" s="79">
        <v>5</v>
      </c>
      <c r="I9" s="79">
        <v>5</v>
      </c>
      <c r="J9" s="79">
        <v>10</v>
      </c>
      <c r="R9" s="82"/>
    </row>
    <row r="10" spans="1:21" ht="15" customHeight="1" thickBot="1">
      <c r="A10" s="207"/>
      <c r="B10" s="130" t="s">
        <v>29</v>
      </c>
      <c r="C10" s="158" t="s">
        <v>156</v>
      </c>
      <c r="D10" s="96">
        <v>9</v>
      </c>
      <c r="E10" s="129" t="s">
        <v>161</v>
      </c>
      <c r="F10" s="150" t="s">
        <v>57</v>
      </c>
      <c r="G10" s="149">
        <v>1</v>
      </c>
      <c r="H10" s="79">
        <v>5</v>
      </c>
      <c r="I10" s="79">
        <v>5</v>
      </c>
      <c r="J10" s="79">
        <v>10</v>
      </c>
      <c r="R10" s="82"/>
    </row>
    <row r="11" spans="1:21" ht="15" customHeight="1" thickBot="1">
      <c r="A11" s="200" t="s">
        <v>119</v>
      </c>
      <c r="B11" s="130" t="s">
        <v>30</v>
      </c>
      <c r="C11" s="158" t="s">
        <v>157</v>
      </c>
      <c r="D11" s="96">
        <v>10</v>
      </c>
      <c r="E11" s="129" t="s">
        <v>161</v>
      </c>
      <c r="F11" s="150" t="s">
        <v>58</v>
      </c>
      <c r="G11" s="149">
        <v>2</v>
      </c>
      <c r="H11" s="79">
        <v>2</v>
      </c>
      <c r="I11" s="79">
        <v>4</v>
      </c>
      <c r="J11" s="79">
        <v>6</v>
      </c>
      <c r="P11" s="55"/>
      <c r="Q11" s="55"/>
    </row>
    <row r="12" spans="1:21" ht="15" customHeight="1" thickBot="1">
      <c r="A12" s="213"/>
      <c r="B12" s="130" t="s">
        <v>31</v>
      </c>
      <c r="C12" s="158" t="s">
        <v>158</v>
      </c>
      <c r="D12" s="96">
        <v>11</v>
      </c>
      <c r="E12" s="129" t="s">
        <v>161</v>
      </c>
      <c r="F12" s="150" t="s">
        <v>58</v>
      </c>
      <c r="G12" s="149">
        <v>2</v>
      </c>
      <c r="H12" s="79">
        <v>2</v>
      </c>
      <c r="I12" s="79">
        <v>4</v>
      </c>
      <c r="J12" s="79">
        <v>6</v>
      </c>
      <c r="P12" s="55"/>
      <c r="Q12" s="55"/>
    </row>
    <row r="13" spans="1:21" ht="15" customHeight="1" thickBot="1">
      <c r="A13" s="202" t="s">
        <v>122</v>
      </c>
      <c r="B13" s="152" t="s">
        <v>32</v>
      </c>
      <c r="C13" s="158" t="s">
        <v>159</v>
      </c>
      <c r="D13" s="96">
        <v>12</v>
      </c>
      <c r="E13" s="129" t="s">
        <v>161</v>
      </c>
      <c r="F13" s="150" t="s">
        <v>58</v>
      </c>
      <c r="G13" s="149">
        <v>1</v>
      </c>
      <c r="H13" s="79">
        <v>2</v>
      </c>
      <c r="I13" s="79">
        <v>5</v>
      </c>
      <c r="J13" s="79">
        <v>7</v>
      </c>
      <c r="P13" s="55"/>
      <c r="Q13" s="55"/>
    </row>
    <row r="14" spans="1:21" ht="15" customHeight="1" thickBot="1">
      <c r="A14" s="203"/>
      <c r="B14" s="131" t="s">
        <v>33</v>
      </c>
      <c r="C14" s="131" t="s">
        <v>160</v>
      </c>
      <c r="D14" s="96">
        <v>13</v>
      </c>
      <c r="E14" s="129" t="s">
        <v>161</v>
      </c>
      <c r="F14" s="150" t="s">
        <v>58</v>
      </c>
      <c r="G14" s="149">
        <v>3</v>
      </c>
      <c r="H14" s="79">
        <v>2</v>
      </c>
      <c r="I14" s="79">
        <v>3</v>
      </c>
      <c r="J14" s="79">
        <v>5</v>
      </c>
      <c r="P14" s="55"/>
      <c r="Q14" s="55"/>
    </row>
    <row r="15" spans="1:21" ht="15" thickBot="1">
      <c r="A15" s="132"/>
      <c r="B15" s="43"/>
      <c r="C15" s="70" t="s">
        <v>79</v>
      </c>
      <c r="D15" s="71"/>
      <c r="E15" s="153" t="s">
        <v>73</v>
      </c>
      <c r="F15" s="154" t="s">
        <v>74</v>
      </c>
      <c r="G15" s="59"/>
      <c r="H15" s="60"/>
      <c r="I15" s="60"/>
      <c r="J15" s="61"/>
      <c r="K15" s="48"/>
    </row>
    <row r="16" spans="1:21" ht="13" customHeight="1">
      <c r="A16" s="132"/>
      <c r="B16" s="43"/>
      <c r="C16" s="70" t="s">
        <v>78</v>
      </c>
      <c r="D16" s="68" t="s">
        <v>24</v>
      </c>
      <c r="E16" s="62">
        <f>ROW(B2)</f>
        <v>2</v>
      </c>
      <c r="F16" s="62">
        <v>2</v>
      </c>
      <c r="G16" s="63"/>
      <c r="H16" s="63"/>
      <c r="I16" s="63"/>
      <c r="J16" s="64">
        <f>SUM(J2)</f>
        <v>6</v>
      </c>
      <c r="K16" s="49"/>
    </row>
    <row r="17" spans="1:10" ht="13" customHeight="1">
      <c r="A17" s="132"/>
      <c r="B17" s="43"/>
      <c r="C17" s="70" t="s">
        <v>78</v>
      </c>
      <c r="D17" s="69" t="s">
        <v>25</v>
      </c>
      <c r="E17" s="65">
        <f>F16+1</f>
        <v>3</v>
      </c>
      <c r="F17" s="65">
        <v>3</v>
      </c>
      <c r="G17" s="65"/>
      <c r="H17" s="65"/>
      <c r="I17" s="65"/>
      <c r="J17" s="66">
        <f>SUM(J3)</f>
        <v>5</v>
      </c>
    </row>
    <row r="18" spans="1:10" ht="13" customHeight="1" thickBot="1">
      <c r="A18" s="132"/>
      <c r="B18" s="94"/>
      <c r="C18" s="70" t="s">
        <v>78</v>
      </c>
      <c r="D18" s="99" t="s">
        <v>26</v>
      </c>
      <c r="E18" s="100">
        <f>F17+1</f>
        <v>4</v>
      </c>
      <c r="F18" s="100">
        <f>ROW(B6)-1</f>
        <v>5</v>
      </c>
      <c r="G18" s="100"/>
      <c r="H18" s="100"/>
      <c r="I18" s="100"/>
      <c r="J18" s="101">
        <f>SUM(J4:J5)</f>
        <v>16</v>
      </c>
    </row>
    <row r="19" spans="1:10" ht="13" customHeight="1">
      <c r="A19" s="132"/>
      <c r="B19" s="43"/>
      <c r="C19" s="70" t="s">
        <v>78</v>
      </c>
      <c r="D19" s="134" t="s">
        <v>27</v>
      </c>
      <c r="E19" s="135">
        <f>F18+1</f>
        <v>6</v>
      </c>
      <c r="F19" s="135">
        <f>ROW(B7)-1</f>
        <v>6</v>
      </c>
      <c r="G19" s="135"/>
      <c r="H19" s="135"/>
      <c r="I19" s="135"/>
      <c r="J19" s="136">
        <f>SUM(J6)</f>
        <v>10</v>
      </c>
    </row>
    <row r="20" spans="1:10" ht="13" customHeight="1">
      <c r="A20" s="132"/>
      <c r="B20" s="94"/>
      <c r="C20" s="70" t="s">
        <v>78</v>
      </c>
      <c r="D20" s="102" t="s">
        <v>28</v>
      </c>
      <c r="E20" s="67">
        <f>E19+1</f>
        <v>7</v>
      </c>
      <c r="F20" s="67">
        <f>ROW(B10)-1</f>
        <v>9</v>
      </c>
      <c r="G20" s="67"/>
      <c r="H20" s="67"/>
      <c r="I20" s="67"/>
      <c r="J20" s="103">
        <f>SUM(J7:J9)</f>
        <v>25</v>
      </c>
    </row>
    <row r="21" spans="1:10" ht="13" customHeight="1" thickBot="1">
      <c r="A21" s="132"/>
      <c r="B21" s="94"/>
      <c r="C21" s="70" t="s">
        <v>78</v>
      </c>
      <c r="D21" s="137" t="s">
        <v>29</v>
      </c>
      <c r="E21" s="138">
        <f>F20+1</f>
        <v>10</v>
      </c>
      <c r="F21" s="138">
        <f>ROW(B11)-1</f>
        <v>10</v>
      </c>
      <c r="G21" s="138"/>
      <c r="H21" s="138"/>
      <c r="I21" s="138"/>
      <c r="J21" s="139">
        <f>SUM(J10)</f>
        <v>10</v>
      </c>
    </row>
    <row r="22" spans="1:10" ht="13" customHeight="1">
      <c r="A22" s="132"/>
      <c r="B22" s="94"/>
      <c r="C22" s="70" t="s">
        <v>78</v>
      </c>
      <c r="D22" s="111" t="s">
        <v>30</v>
      </c>
      <c r="E22" s="112">
        <f>F21+1</f>
        <v>11</v>
      </c>
      <c r="F22" s="112">
        <f>ROW(B12)-1</f>
        <v>11</v>
      </c>
      <c r="G22" s="112"/>
      <c r="H22" s="112"/>
      <c r="I22" s="112"/>
      <c r="J22" s="113">
        <f>SUM(J11)</f>
        <v>6</v>
      </c>
    </row>
    <row r="23" spans="1:10" ht="13" customHeight="1" thickBot="1">
      <c r="A23" s="132"/>
      <c r="B23" s="43"/>
      <c r="C23" s="70" t="s">
        <v>78</v>
      </c>
      <c r="D23" s="140" t="s">
        <v>31</v>
      </c>
      <c r="E23" s="141">
        <f>E22+1</f>
        <v>12</v>
      </c>
      <c r="F23" s="141">
        <f>ROW(B13)-1</f>
        <v>12</v>
      </c>
      <c r="G23" s="141"/>
      <c r="H23" s="141"/>
      <c r="I23" s="141"/>
      <c r="J23" s="142">
        <f>SUM(J12)</f>
        <v>6</v>
      </c>
    </row>
    <row r="24" spans="1:10" ht="13" customHeight="1">
      <c r="A24" s="132"/>
      <c r="B24" s="43"/>
      <c r="C24" s="70" t="s">
        <v>78</v>
      </c>
      <c r="D24" s="107" t="s">
        <v>32</v>
      </c>
      <c r="E24" s="108">
        <f>F23+1</f>
        <v>13</v>
      </c>
      <c r="F24" s="108">
        <f>ROW(B14)-1</f>
        <v>13</v>
      </c>
      <c r="G24" s="108"/>
      <c r="H24" s="108"/>
      <c r="I24" s="108"/>
      <c r="J24" s="109">
        <f>SUM(J13)</f>
        <v>7</v>
      </c>
    </row>
    <row r="25" spans="1:10" ht="13" customHeight="1" thickBot="1">
      <c r="A25" s="132"/>
      <c r="B25" s="94"/>
      <c r="C25" s="70" t="s">
        <v>78</v>
      </c>
      <c r="D25" s="114" t="s">
        <v>33</v>
      </c>
      <c r="E25" s="115">
        <f>E24+1</f>
        <v>14</v>
      </c>
      <c r="F25" s="115">
        <f>ROW(F15)-1</f>
        <v>14</v>
      </c>
      <c r="G25" s="115"/>
      <c r="H25" s="115"/>
      <c r="I25" s="115"/>
      <c r="J25" s="116">
        <f>SUM(J14)</f>
        <v>5</v>
      </c>
    </row>
    <row r="26" spans="1:10" ht="13" customHeight="1">
      <c r="A26" s="132"/>
      <c r="B26" s="43"/>
      <c r="C26" s="70"/>
      <c r="D26" s="119" t="s">
        <v>137</v>
      </c>
      <c r="E26" s="65">
        <f>ROW(J16)</f>
        <v>16</v>
      </c>
      <c r="F26" s="65">
        <f>ROW(J19)-1</f>
        <v>18</v>
      </c>
      <c r="G26" s="65"/>
      <c r="H26" s="65"/>
      <c r="I26" s="65"/>
      <c r="J26" s="120">
        <f>SUM(J16:J18)</f>
        <v>27</v>
      </c>
    </row>
    <row r="27" spans="1:10" ht="13" customHeight="1">
      <c r="A27" s="132"/>
      <c r="B27" s="43"/>
      <c r="C27" s="70"/>
      <c r="D27" s="121" t="s">
        <v>138</v>
      </c>
      <c r="E27" s="67">
        <f>F26+1</f>
        <v>19</v>
      </c>
      <c r="F27" s="67">
        <f>ROW(J22)-1</f>
        <v>21</v>
      </c>
      <c r="G27" s="67"/>
      <c r="H27" s="67"/>
      <c r="I27" s="67"/>
      <c r="J27" s="122">
        <f>SUM(J19:J21)</f>
        <v>45</v>
      </c>
    </row>
    <row r="28" spans="1:10" ht="13" customHeight="1">
      <c r="A28" s="132"/>
      <c r="B28" s="43"/>
      <c r="C28" s="70"/>
      <c r="D28" s="123" t="s">
        <v>139</v>
      </c>
      <c r="E28" s="106">
        <f>F27+1</f>
        <v>22</v>
      </c>
      <c r="F28" s="106">
        <f>ROW(J24)-1</f>
        <v>23</v>
      </c>
      <c r="G28" s="106"/>
      <c r="H28" s="106"/>
      <c r="I28" s="106"/>
      <c r="J28" s="124">
        <f>SUM(J22:J23)</f>
        <v>12</v>
      </c>
    </row>
    <row r="29" spans="1:10" ht="13" customHeight="1">
      <c r="A29" s="132"/>
      <c r="B29" s="94"/>
      <c r="C29" s="70"/>
      <c r="D29" s="117" t="s">
        <v>140</v>
      </c>
      <c r="E29" s="110">
        <f>F28+1</f>
        <v>24</v>
      </c>
      <c r="F29" s="110">
        <f>ROW(J26)-1</f>
        <v>25</v>
      </c>
      <c r="G29" s="110"/>
      <c r="H29" s="110"/>
      <c r="I29" s="110"/>
      <c r="J29" s="118">
        <f>SUM(J24:J25)</f>
        <v>12</v>
      </c>
    </row>
    <row r="30" spans="1:10" ht="13" customHeight="1">
      <c r="A30" s="132"/>
      <c r="B30" s="43"/>
      <c r="C30" s="70"/>
      <c r="D30" s="125" t="s">
        <v>94</v>
      </c>
      <c r="E30" s="126">
        <f>ROW(J26)</f>
        <v>26</v>
      </c>
      <c r="F30" s="126">
        <f>ROW(J29)</f>
        <v>29</v>
      </c>
      <c r="G30" s="126"/>
      <c r="H30" s="126"/>
      <c r="I30" s="126"/>
      <c r="J30" s="127">
        <f>SUM(J26:J29)</f>
        <v>96</v>
      </c>
    </row>
  </sheetData>
  <sheetProtection algorithmName="SHA-512" hashValue="ekF6opwlpX0OcLcyhPGFvEABM08OOYuLJB5+K967ahjWBo675FGOQMzuktPyUgBz0yeTZs84dUJHkHPYKoMl5g==" saltValue="pBJRy3yeGhS/R2MWd1weXw==" spinCount="100000" sheet="1" objects="1" scenarios="1" formatCells="0"/>
  <mergeCells count="9">
    <mergeCell ref="A11:A12"/>
    <mergeCell ref="A13:A14"/>
    <mergeCell ref="A2:A5"/>
    <mergeCell ref="A1:C1"/>
    <mergeCell ref="B4:B5"/>
    <mergeCell ref="C4:C5"/>
    <mergeCell ref="B7:B9"/>
    <mergeCell ref="C7:C9"/>
    <mergeCell ref="A6:A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zoomScale="80" zoomScaleNormal="80" workbookViewId="0">
      <pane ySplit="1" topLeftCell="A2" activePane="bottomLeft" state="frozen"/>
      <selection sqref="A1:G1"/>
      <selection pane="bottomLeft" activeCell="A3" sqref="A3"/>
    </sheetView>
  </sheetViews>
  <sheetFormatPr defaultColWidth="9.26953125" defaultRowHeight="14.5"/>
  <cols>
    <col min="1" max="1" width="9.26953125" style="13"/>
    <col min="2" max="2" width="110.54296875" style="38" customWidth="1"/>
    <col min="3" max="3" width="14.1796875" style="13" customWidth="1"/>
    <col min="4" max="4" width="9.26953125" style="13"/>
    <col min="5" max="5" width="60.36328125" style="13" customWidth="1"/>
    <col min="6" max="6" width="22.81640625" style="13" customWidth="1"/>
    <col min="7" max="7" width="19.81640625" style="13" customWidth="1"/>
    <col min="8" max="8" width="25.36328125" style="13" customWidth="1"/>
    <col min="9" max="16384" width="9.26953125" style="13"/>
  </cols>
  <sheetData>
    <row r="1" spans="1:18" s="31" customFormat="1" ht="37.5" customHeight="1">
      <c r="A1" s="31" t="s">
        <v>4</v>
      </c>
      <c r="B1" s="32" t="s">
        <v>5</v>
      </c>
      <c r="C1" s="31" t="s">
        <v>6</v>
      </c>
    </row>
    <row r="2" spans="1:18" ht="15.5">
      <c r="A2" s="13">
        <v>1</v>
      </c>
      <c r="B2" s="33" t="s">
        <v>166</v>
      </c>
      <c r="C2" s="34"/>
      <c r="E2" s="35" t="s">
        <v>41</v>
      </c>
      <c r="F2" s="36"/>
      <c r="G2" s="35"/>
      <c r="H2" s="35"/>
      <c r="I2" s="35"/>
      <c r="J2" s="35"/>
      <c r="K2" s="35"/>
      <c r="L2" s="35"/>
      <c r="M2" s="35"/>
      <c r="N2" s="35"/>
    </row>
    <row r="3" spans="1:18" ht="15.5">
      <c r="A3" s="13">
        <v>2</v>
      </c>
      <c r="B3" s="33" t="s">
        <v>42</v>
      </c>
      <c r="C3" s="34"/>
      <c r="E3" s="35" t="s">
        <v>56</v>
      </c>
      <c r="F3" s="35"/>
      <c r="G3" s="35"/>
      <c r="H3" s="35"/>
      <c r="I3" s="35"/>
      <c r="J3" s="35"/>
      <c r="K3" s="35"/>
      <c r="L3" s="35"/>
      <c r="M3" s="35"/>
      <c r="N3" s="35"/>
    </row>
    <row r="4" spans="1:18" ht="15.5">
      <c r="A4" s="13">
        <v>3</v>
      </c>
      <c r="B4" s="33" t="s">
        <v>165</v>
      </c>
      <c r="C4" s="34" t="s">
        <v>39</v>
      </c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8" ht="15.5">
      <c r="A5" s="13">
        <v>4</v>
      </c>
      <c r="B5" s="33" t="s">
        <v>43</v>
      </c>
      <c r="E5" s="35"/>
      <c r="F5" s="35"/>
      <c r="G5" s="35"/>
      <c r="H5" s="35"/>
      <c r="I5" s="35"/>
      <c r="J5" s="35"/>
      <c r="K5" s="35"/>
      <c r="L5" s="35"/>
      <c r="M5" s="35"/>
      <c r="N5" s="35"/>
    </row>
    <row r="6" spans="1:18" ht="15.5">
      <c r="A6" s="13">
        <v>5</v>
      </c>
      <c r="B6" s="33" t="s">
        <v>44</v>
      </c>
      <c r="C6" s="34" t="s">
        <v>39</v>
      </c>
      <c r="E6" s="37"/>
      <c r="F6" s="35"/>
      <c r="G6" s="35"/>
      <c r="H6" s="36"/>
      <c r="I6" s="35"/>
      <c r="J6" s="35"/>
      <c r="K6" s="35"/>
      <c r="L6" s="35"/>
      <c r="M6" s="35"/>
      <c r="N6" s="35"/>
      <c r="O6" s="35"/>
      <c r="P6" s="35"/>
      <c r="Q6" s="35"/>
      <c r="R6" s="35"/>
    </row>
    <row r="7" spans="1:18" ht="15.5">
      <c r="A7" s="13">
        <v>6</v>
      </c>
      <c r="B7" s="33" t="s">
        <v>45</v>
      </c>
      <c r="E7" s="37"/>
      <c r="F7" s="35"/>
      <c r="G7" s="35"/>
      <c r="H7" s="36"/>
      <c r="I7" s="35"/>
      <c r="J7" s="35"/>
      <c r="K7" s="35"/>
      <c r="L7" s="35"/>
      <c r="M7" s="35"/>
      <c r="N7" s="35"/>
      <c r="O7" s="35"/>
      <c r="P7" s="35"/>
      <c r="Q7" s="35"/>
      <c r="R7" s="35"/>
    </row>
    <row r="8" spans="1:18" ht="15.5">
      <c r="A8" s="13">
        <v>7</v>
      </c>
      <c r="B8" s="33" t="s">
        <v>46</v>
      </c>
      <c r="C8" s="34" t="s">
        <v>39</v>
      </c>
      <c r="E8" s="37"/>
      <c r="F8" s="35"/>
      <c r="G8" s="35"/>
      <c r="H8" s="36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ht="15.5">
      <c r="A9" s="13">
        <v>8</v>
      </c>
      <c r="B9" s="33" t="s">
        <v>47</v>
      </c>
      <c r="C9" s="34" t="s">
        <v>39</v>
      </c>
      <c r="E9" s="37"/>
      <c r="F9" s="35"/>
      <c r="G9" s="35"/>
      <c r="H9" s="36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ht="15.5">
      <c r="A10" s="13">
        <v>9</v>
      </c>
      <c r="B10" s="33" t="s">
        <v>48</v>
      </c>
      <c r="C10" s="34" t="s">
        <v>39</v>
      </c>
      <c r="E10" s="37"/>
      <c r="F10" s="35"/>
      <c r="G10" s="35"/>
      <c r="H10" s="36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ht="15.5">
      <c r="A11" s="13">
        <v>10</v>
      </c>
      <c r="B11" s="33" t="s">
        <v>49</v>
      </c>
      <c r="C11" s="34"/>
      <c r="E11" s="37"/>
      <c r="F11" s="35"/>
      <c r="G11" s="35"/>
      <c r="H11" s="36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ht="15.5">
      <c r="A12" s="13">
        <v>11</v>
      </c>
      <c r="B12" s="33" t="s">
        <v>50</v>
      </c>
      <c r="C12" s="34"/>
      <c r="E12" s="37"/>
      <c r="F12" s="35"/>
      <c r="G12" s="35"/>
      <c r="H12" s="36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ht="15.5">
      <c r="A13" s="13">
        <v>12</v>
      </c>
      <c r="B13" s="33" t="s">
        <v>51</v>
      </c>
      <c r="C13" s="34"/>
      <c r="E13" s="37"/>
      <c r="F13" s="35"/>
      <c r="G13" s="35"/>
      <c r="H13" s="36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ht="15.5">
      <c r="A14" s="13">
        <v>13</v>
      </c>
      <c r="B14" s="33" t="s">
        <v>52</v>
      </c>
      <c r="C14" s="34"/>
      <c r="E14" s="37"/>
      <c r="F14" s="35"/>
      <c r="G14" s="35"/>
      <c r="H14" s="36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ht="15.5">
      <c r="A15" s="13">
        <v>14</v>
      </c>
      <c r="B15" s="12" t="s">
        <v>95</v>
      </c>
      <c r="C15" s="34"/>
      <c r="E15" s="37"/>
      <c r="F15" s="35"/>
      <c r="G15" s="35"/>
      <c r="H15" s="36"/>
      <c r="I15" s="35"/>
      <c r="J15" s="35"/>
      <c r="K15" s="35"/>
      <c r="L15" s="35"/>
      <c r="M15" s="35"/>
      <c r="N15" s="35"/>
      <c r="O15" s="35"/>
      <c r="P15" s="35"/>
      <c r="Q15" s="35"/>
      <c r="R15" s="35"/>
    </row>
    <row r="16" spans="1:18" ht="15.5">
      <c r="A16" s="13">
        <v>15</v>
      </c>
      <c r="B16" s="12" t="s">
        <v>96</v>
      </c>
      <c r="C16" s="34"/>
      <c r="E16" s="37"/>
      <c r="F16" s="35"/>
      <c r="G16" s="35"/>
      <c r="H16" s="36"/>
      <c r="I16" s="35"/>
      <c r="J16" s="35"/>
      <c r="K16" s="35"/>
      <c r="L16" s="35"/>
      <c r="M16" s="35"/>
      <c r="N16" s="35"/>
      <c r="O16" s="35"/>
      <c r="P16" s="35"/>
      <c r="Q16" s="35"/>
      <c r="R16" s="35"/>
    </row>
    <row r="17" spans="1:18" ht="15.5">
      <c r="A17" s="13">
        <v>16</v>
      </c>
      <c r="B17" s="12" t="s">
        <v>103</v>
      </c>
      <c r="C17" s="34"/>
      <c r="E17" s="37"/>
      <c r="F17" s="35"/>
      <c r="G17" s="35"/>
      <c r="H17" s="36"/>
      <c r="I17" s="35"/>
      <c r="J17" s="35"/>
      <c r="K17" s="35"/>
      <c r="L17" s="35"/>
      <c r="M17" s="35"/>
      <c r="N17" s="35"/>
      <c r="O17" s="35"/>
      <c r="P17" s="35"/>
      <c r="Q17" s="35"/>
      <c r="R17" s="35"/>
    </row>
    <row r="18" spans="1:18" ht="15.5">
      <c r="A18" s="13">
        <v>17</v>
      </c>
      <c r="B18" s="12" t="s">
        <v>104</v>
      </c>
      <c r="C18" s="34"/>
      <c r="E18" s="37"/>
      <c r="F18" s="35"/>
      <c r="G18" s="35"/>
      <c r="H18" s="36"/>
      <c r="I18" s="35"/>
      <c r="J18" s="35"/>
      <c r="K18" s="35"/>
      <c r="L18" s="35"/>
      <c r="M18" s="35"/>
      <c r="N18" s="35"/>
      <c r="O18" s="35"/>
      <c r="P18" s="35"/>
      <c r="Q18" s="35"/>
      <c r="R18" s="35"/>
    </row>
    <row r="19" spans="1:18" ht="15.5">
      <c r="A19" s="13">
        <v>18</v>
      </c>
      <c r="B19" s="12" t="s">
        <v>141</v>
      </c>
      <c r="C19" s="34"/>
      <c r="E19" s="37"/>
      <c r="F19" s="35"/>
      <c r="G19" s="35"/>
      <c r="H19" s="36"/>
      <c r="I19" s="35"/>
      <c r="J19" s="35"/>
      <c r="K19" s="35"/>
      <c r="L19" s="35"/>
      <c r="M19" s="35"/>
      <c r="N19" s="35"/>
      <c r="O19" s="35"/>
      <c r="P19" s="35"/>
      <c r="Q19" s="35"/>
      <c r="R19" s="35"/>
    </row>
    <row r="20" spans="1:18" ht="15.5">
      <c r="A20" s="13">
        <v>19</v>
      </c>
      <c r="B20" s="12" t="s">
        <v>142</v>
      </c>
      <c r="C20" s="34"/>
      <c r="E20" s="37"/>
      <c r="F20" s="35"/>
      <c r="G20" s="35"/>
      <c r="H20" s="36"/>
      <c r="I20" s="35"/>
      <c r="J20" s="35"/>
      <c r="K20" s="35"/>
      <c r="L20" s="35"/>
      <c r="M20" s="35"/>
      <c r="N20" s="35"/>
      <c r="O20" s="35"/>
      <c r="P20" s="35"/>
      <c r="Q20" s="35"/>
      <c r="R20" s="35"/>
    </row>
    <row r="21" spans="1:18" ht="15.5">
      <c r="A21" s="13">
        <v>20</v>
      </c>
      <c r="B21" s="12" t="s">
        <v>143</v>
      </c>
      <c r="C21" s="34"/>
      <c r="E21" s="37"/>
      <c r="F21" s="35"/>
      <c r="G21" s="35"/>
      <c r="H21" s="36"/>
      <c r="I21" s="35"/>
      <c r="J21" s="35"/>
      <c r="K21" s="35"/>
      <c r="L21" s="35"/>
      <c r="M21" s="35"/>
      <c r="N21" s="35"/>
      <c r="O21" s="35"/>
      <c r="P21" s="35"/>
      <c r="Q21" s="35"/>
      <c r="R21" s="35"/>
    </row>
    <row r="22" spans="1:18" ht="15.5">
      <c r="A22" s="13">
        <v>21</v>
      </c>
      <c r="B22" s="12" t="s">
        <v>144</v>
      </c>
      <c r="C22" s="34"/>
      <c r="E22" s="37"/>
      <c r="F22" s="35"/>
      <c r="G22" s="35"/>
      <c r="H22" s="36"/>
      <c r="I22" s="35"/>
      <c r="J22" s="35"/>
      <c r="K22" s="35"/>
      <c r="L22" s="35"/>
      <c r="M22" s="35"/>
      <c r="N22" s="35"/>
      <c r="O22" s="35"/>
      <c r="P22" s="35"/>
      <c r="Q22" s="35"/>
      <c r="R22" s="35"/>
    </row>
    <row r="23" spans="1:18" ht="15.5">
      <c r="A23" s="13">
        <v>22</v>
      </c>
      <c r="B23" s="12" t="s">
        <v>145</v>
      </c>
      <c r="C23" s="34"/>
      <c r="E23" s="37"/>
      <c r="F23" s="35"/>
      <c r="G23" s="35"/>
      <c r="H23" s="36"/>
      <c r="I23" s="35"/>
      <c r="J23" s="35"/>
      <c r="K23" s="35"/>
      <c r="L23" s="35"/>
      <c r="M23" s="35"/>
      <c r="N23" s="35"/>
      <c r="O23" s="35"/>
      <c r="P23" s="35"/>
      <c r="Q23" s="35"/>
      <c r="R23" s="35"/>
    </row>
    <row r="24" spans="1:18" ht="15.5">
      <c r="A24" s="13">
        <v>23</v>
      </c>
      <c r="B24" s="12" t="s">
        <v>146</v>
      </c>
      <c r="C24" s="34"/>
      <c r="E24" s="37"/>
      <c r="F24" s="35"/>
      <c r="G24" s="35"/>
      <c r="H24" s="36"/>
      <c r="I24" s="35"/>
      <c r="J24" s="35"/>
      <c r="K24" s="35"/>
      <c r="L24" s="35"/>
      <c r="M24" s="35"/>
      <c r="N24" s="35"/>
      <c r="O24" s="35"/>
      <c r="P24" s="35"/>
      <c r="Q24" s="35"/>
      <c r="R24" s="35"/>
    </row>
    <row r="25" spans="1:18">
      <c r="A25" s="13">
        <v>24</v>
      </c>
      <c r="B25" s="155" t="s">
        <v>147</v>
      </c>
    </row>
    <row r="26" spans="1:18">
      <c r="A26" s="13">
        <v>25</v>
      </c>
      <c r="B26" s="39" t="s">
        <v>148</v>
      </c>
    </row>
    <row r="27" spans="1:18">
      <c r="A27" s="13">
        <v>26</v>
      </c>
      <c r="B27" s="40" t="s">
        <v>164</v>
      </c>
    </row>
    <row r="28" spans="1:18">
      <c r="A28" s="13">
        <v>27</v>
      </c>
      <c r="B28" s="40" t="s">
        <v>149</v>
      </c>
    </row>
    <row r="29" spans="1:18">
      <c r="A29" s="13">
        <v>28</v>
      </c>
      <c r="B29" s="36" t="s">
        <v>150</v>
      </c>
    </row>
  </sheetData>
  <sheetProtection algorithmName="SHA-512" hashValue="LvhvoNBkI490RQ1YdVJxk9awr/7VLUYzc32ilZ2ekeMDFKgiNwh913d5ofelHWnBdUS7Ce7aRLxKWVs4s469gA==" saltValue="sCI9EuJGeWyIih1ek88E3A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9"/>
  <sheetViews>
    <sheetView workbookViewId="0">
      <pane ySplit="1" topLeftCell="A2" activePane="bottomLeft" state="frozen"/>
      <selection pane="bottomLeft" activeCell="F29" sqref="F29"/>
    </sheetView>
  </sheetViews>
  <sheetFormatPr defaultColWidth="9.1796875" defaultRowHeight="14.5"/>
  <cols>
    <col min="2" max="2" width="13.1796875" customWidth="1"/>
    <col min="3" max="3" width="20.36328125" customWidth="1"/>
    <col min="6" max="6" width="11.81640625" customWidth="1"/>
  </cols>
  <sheetData>
    <row r="1" spans="1:7" s="4" customFormat="1">
      <c r="A1" s="4" t="s">
        <v>4</v>
      </c>
      <c r="B1" s="4" t="s">
        <v>34</v>
      </c>
      <c r="C1" s="4" t="s">
        <v>35</v>
      </c>
      <c r="D1" s="4" t="s">
        <v>36</v>
      </c>
      <c r="E1" s="4" t="s">
        <v>75</v>
      </c>
      <c r="F1" s="4" t="s">
        <v>77</v>
      </c>
      <c r="G1" s="4" t="s">
        <v>76</v>
      </c>
    </row>
    <row r="2" spans="1:7">
      <c r="A2">
        <v>1</v>
      </c>
      <c r="B2" t="s">
        <v>186</v>
      </c>
      <c r="C2" t="s">
        <v>11</v>
      </c>
      <c r="D2" t="b">
        <v>1</v>
      </c>
      <c r="E2">
        <v>6</v>
      </c>
      <c r="F2">
        <v>6</v>
      </c>
    </row>
    <row r="3" spans="1:7">
      <c r="A3">
        <v>2</v>
      </c>
      <c r="B3" t="s">
        <v>186</v>
      </c>
      <c r="C3" t="s">
        <v>12</v>
      </c>
      <c r="D3" t="b">
        <v>1</v>
      </c>
      <c r="E3">
        <v>5</v>
      </c>
      <c r="F3">
        <v>5</v>
      </c>
    </row>
    <row r="4" spans="1:7">
      <c r="A4">
        <v>3</v>
      </c>
      <c r="B4" t="s">
        <v>186</v>
      </c>
      <c r="C4" t="s">
        <v>13</v>
      </c>
      <c r="D4" t="b">
        <v>1</v>
      </c>
      <c r="E4">
        <v>10</v>
      </c>
      <c r="F4">
        <v>10</v>
      </c>
    </row>
    <row r="5" spans="1:7">
      <c r="A5">
        <v>4</v>
      </c>
      <c r="B5" t="s">
        <v>186</v>
      </c>
      <c r="C5" t="s">
        <v>14</v>
      </c>
      <c r="D5" t="b">
        <v>1</v>
      </c>
      <c r="E5">
        <v>6</v>
      </c>
      <c r="F5">
        <v>6</v>
      </c>
    </row>
    <row r="6" spans="1:7">
      <c r="A6">
        <v>5</v>
      </c>
      <c r="B6" t="s">
        <v>186</v>
      </c>
      <c r="C6" t="s">
        <v>15</v>
      </c>
      <c r="D6" t="b">
        <v>0</v>
      </c>
      <c r="E6">
        <v>10</v>
      </c>
      <c r="F6">
        <v>0</v>
      </c>
    </row>
    <row r="7" spans="1:7">
      <c r="A7">
        <v>6</v>
      </c>
      <c r="B7" t="s">
        <v>186</v>
      </c>
      <c r="C7" t="s">
        <v>16</v>
      </c>
      <c r="D7" t="b">
        <v>1</v>
      </c>
      <c r="E7">
        <v>5</v>
      </c>
      <c r="F7">
        <v>5</v>
      </c>
    </row>
    <row r="8" spans="1:7">
      <c r="A8">
        <v>7</v>
      </c>
      <c r="B8" t="s">
        <v>186</v>
      </c>
      <c r="C8" t="s">
        <v>17</v>
      </c>
      <c r="D8" t="b">
        <v>1</v>
      </c>
      <c r="E8">
        <v>10</v>
      </c>
      <c r="F8">
        <v>10</v>
      </c>
    </row>
    <row r="9" spans="1:7">
      <c r="A9">
        <v>8</v>
      </c>
      <c r="B9" t="s">
        <v>186</v>
      </c>
      <c r="C9" t="s">
        <v>18</v>
      </c>
      <c r="D9" t="b">
        <v>0</v>
      </c>
      <c r="E9">
        <v>10</v>
      </c>
      <c r="F9">
        <v>0</v>
      </c>
    </row>
    <row r="10" spans="1:7">
      <c r="A10">
        <v>9</v>
      </c>
      <c r="B10" t="s">
        <v>186</v>
      </c>
      <c r="C10" t="s">
        <v>19</v>
      </c>
      <c r="D10" t="b">
        <v>1</v>
      </c>
      <c r="E10">
        <v>10</v>
      </c>
      <c r="F10">
        <v>10</v>
      </c>
    </row>
    <row r="11" spans="1:7">
      <c r="A11">
        <v>10</v>
      </c>
      <c r="B11" t="s">
        <v>186</v>
      </c>
      <c r="C11" t="s">
        <v>20</v>
      </c>
      <c r="D11" t="b">
        <v>1</v>
      </c>
      <c r="E11">
        <v>6</v>
      </c>
      <c r="F11">
        <v>6</v>
      </c>
    </row>
    <row r="12" spans="1:7">
      <c r="A12">
        <v>11</v>
      </c>
      <c r="B12" t="s">
        <v>186</v>
      </c>
      <c r="C12" t="s">
        <v>21</v>
      </c>
      <c r="D12" t="b">
        <v>1</v>
      </c>
      <c r="E12">
        <v>6</v>
      </c>
      <c r="F12">
        <v>6</v>
      </c>
    </row>
    <row r="13" spans="1:7">
      <c r="A13">
        <v>12</v>
      </c>
      <c r="B13" t="s">
        <v>186</v>
      </c>
      <c r="C13" t="s">
        <v>22</v>
      </c>
      <c r="D13" t="b">
        <v>1</v>
      </c>
      <c r="E13">
        <v>7</v>
      </c>
      <c r="F13">
        <v>7</v>
      </c>
    </row>
    <row r="14" spans="1:7">
      <c r="A14">
        <v>13</v>
      </c>
      <c r="B14" t="s">
        <v>186</v>
      </c>
      <c r="C14" t="s">
        <v>23</v>
      </c>
      <c r="D14" t="b">
        <v>1</v>
      </c>
      <c r="E14">
        <v>5</v>
      </c>
      <c r="F14">
        <v>5</v>
      </c>
    </row>
    <row r="15" spans="1:7">
      <c r="A15">
        <v>14</v>
      </c>
      <c r="B15" t="s">
        <v>186</v>
      </c>
      <c r="C15" t="s">
        <v>24</v>
      </c>
      <c r="D15" t="b">
        <v>1</v>
      </c>
      <c r="E15">
        <v>6</v>
      </c>
      <c r="F15">
        <v>6</v>
      </c>
    </row>
    <row r="16" spans="1:7">
      <c r="A16">
        <v>15</v>
      </c>
      <c r="B16" t="s">
        <v>186</v>
      </c>
      <c r="C16" t="s">
        <v>25</v>
      </c>
      <c r="D16" t="b">
        <v>1</v>
      </c>
      <c r="E16">
        <v>5</v>
      </c>
      <c r="F16">
        <v>5</v>
      </c>
    </row>
    <row r="17" spans="1:6">
      <c r="A17">
        <v>16</v>
      </c>
      <c r="B17" t="s">
        <v>186</v>
      </c>
      <c r="C17" t="s">
        <v>26</v>
      </c>
      <c r="D17" t="b">
        <v>1</v>
      </c>
      <c r="E17">
        <v>16</v>
      </c>
      <c r="F17">
        <v>16</v>
      </c>
    </row>
    <row r="18" spans="1:6">
      <c r="A18">
        <v>17</v>
      </c>
      <c r="B18" t="s">
        <v>186</v>
      </c>
      <c r="C18" t="s">
        <v>27</v>
      </c>
      <c r="D18" t="b">
        <v>0</v>
      </c>
      <c r="E18">
        <v>10</v>
      </c>
      <c r="F18">
        <v>0</v>
      </c>
    </row>
    <row r="19" spans="1:6">
      <c r="A19">
        <v>18</v>
      </c>
      <c r="B19" t="s">
        <v>186</v>
      </c>
      <c r="C19" t="s">
        <v>28</v>
      </c>
      <c r="D19" t="b">
        <v>0</v>
      </c>
      <c r="E19">
        <v>25</v>
      </c>
      <c r="F19">
        <v>15</v>
      </c>
    </row>
    <row r="20" spans="1:6">
      <c r="A20">
        <v>19</v>
      </c>
      <c r="B20" t="s">
        <v>186</v>
      </c>
      <c r="C20" t="s">
        <v>29</v>
      </c>
      <c r="D20" t="b">
        <v>1</v>
      </c>
      <c r="E20">
        <v>10</v>
      </c>
      <c r="F20">
        <v>10</v>
      </c>
    </row>
    <row r="21" spans="1:6">
      <c r="A21">
        <v>20</v>
      </c>
      <c r="B21" t="s">
        <v>186</v>
      </c>
      <c r="C21" t="s">
        <v>30</v>
      </c>
      <c r="D21" t="b">
        <v>1</v>
      </c>
      <c r="E21">
        <v>6</v>
      </c>
      <c r="F21">
        <v>6</v>
      </c>
    </row>
    <row r="22" spans="1:6">
      <c r="A22">
        <v>21</v>
      </c>
      <c r="B22" t="s">
        <v>186</v>
      </c>
      <c r="C22" t="s">
        <v>31</v>
      </c>
      <c r="D22" t="b">
        <v>1</v>
      </c>
      <c r="E22">
        <v>6</v>
      </c>
      <c r="F22">
        <v>6</v>
      </c>
    </row>
    <row r="23" spans="1:6">
      <c r="A23">
        <v>22</v>
      </c>
      <c r="B23" t="s">
        <v>186</v>
      </c>
      <c r="C23" t="s">
        <v>32</v>
      </c>
      <c r="D23" t="b">
        <v>1</v>
      </c>
      <c r="E23">
        <v>7</v>
      </c>
      <c r="F23">
        <v>7</v>
      </c>
    </row>
    <row r="24" spans="1:6">
      <c r="A24">
        <v>23</v>
      </c>
      <c r="B24" t="s">
        <v>186</v>
      </c>
      <c r="C24" t="s">
        <v>33</v>
      </c>
      <c r="D24" t="b">
        <v>1</v>
      </c>
      <c r="E24">
        <v>5</v>
      </c>
      <c r="F24">
        <v>5</v>
      </c>
    </row>
    <row r="25" spans="1:6">
      <c r="A25">
        <v>24</v>
      </c>
      <c r="B25" t="s">
        <v>186</v>
      </c>
      <c r="C25" t="s">
        <v>137</v>
      </c>
      <c r="D25" t="b">
        <v>1</v>
      </c>
      <c r="E25">
        <v>27</v>
      </c>
      <c r="F25">
        <v>27</v>
      </c>
    </row>
    <row r="26" spans="1:6">
      <c r="A26">
        <v>25</v>
      </c>
      <c r="B26" t="s">
        <v>186</v>
      </c>
      <c r="C26" t="s">
        <v>138</v>
      </c>
      <c r="D26" t="b">
        <v>0</v>
      </c>
      <c r="E26">
        <v>45</v>
      </c>
      <c r="F26">
        <v>25</v>
      </c>
    </row>
    <row r="27" spans="1:6">
      <c r="A27">
        <v>26</v>
      </c>
      <c r="B27" t="s">
        <v>186</v>
      </c>
      <c r="C27" t="s">
        <v>139</v>
      </c>
      <c r="D27" t="b">
        <v>1</v>
      </c>
      <c r="E27">
        <v>12</v>
      </c>
      <c r="F27">
        <v>12</v>
      </c>
    </row>
    <row r="28" spans="1:6">
      <c r="A28">
        <v>27</v>
      </c>
      <c r="B28" t="s">
        <v>186</v>
      </c>
      <c r="C28" t="s">
        <v>140</v>
      </c>
      <c r="D28" t="b">
        <v>1</v>
      </c>
      <c r="E28">
        <v>12</v>
      </c>
      <c r="F28">
        <v>12</v>
      </c>
    </row>
    <row r="29" spans="1:6">
      <c r="A29">
        <v>28</v>
      </c>
      <c r="B29" t="s">
        <v>186</v>
      </c>
      <c r="C29" t="s">
        <v>94</v>
      </c>
      <c r="D29" t="b">
        <v>0</v>
      </c>
      <c r="E29">
        <v>96</v>
      </c>
      <c r="F29">
        <v>76</v>
      </c>
    </row>
  </sheetData>
  <sheetProtection algorithmName="SHA-512" hashValue="tmYhnT2mLcE/Onf4S7gAaA636k1ZfSmN6+WXFedXrs4Gd/YwzEflkEZiy1hGiYTBpPiwp16ppFdAcfc6QyDF7Q==" saltValue="aoU+EhOh5WhEqcjS43mhiw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9"/>
  <sheetViews>
    <sheetView workbookViewId="0">
      <pane ySplit="1" topLeftCell="A2" activePane="bottomLeft" state="frozen"/>
      <selection sqref="A1:G1"/>
      <selection pane="bottomLeft" activeCell="A2" sqref="A2"/>
    </sheetView>
  </sheetViews>
  <sheetFormatPr defaultColWidth="9.1796875" defaultRowHeight="14.5"/>
  <cols>
    <col min="1" max="1" width="18.1796875" customWidth="1"/>
    <col min="2" max="2" width="18.81640625" customWidth="1"/>
    <col min="3" max="3" width="34.36328125" customWidth="1"/>
  </cols>
  <sheetData>
    <row r="1" spans="1:6" s="2" customFormat="1">
      <c r="A1" s="2" t="s">
        <v>34</v>
      </c>
      <c r="B1" s="2" t="s">
        <v>35</v>
      </c>
      <c r="C1" s="2" t="s">
        <v>36</v>
      </c>
      <c r="D1" s="2" t="s">
        <v>75</v>
      </c>
      <c r="E1" s="2" t="s">
        <v>77</v>
      </c>
      <c r="F1" s="2" t="s">
        <v>76</v>
      </c>
    </row>
    <row r="2" spans="1:6">
      <c r="A2" t="s">
        <v>186</v>
      </c>
      <c r="B2" t="s">
        <v>11</v>
      </c>
      <c r="C2" t="b">
        <v>1</v>
      </c>
      <c r="D2">
        <v>6</v>
      </c>
      <c r="E2">
        <v>6</v>
      </c>
    </row>
    <row r="3" spans="1:6">
      <c r="A3" t="s">
        <v>186</v>
      </c>
      <c r="B3" t="s">
        <v>12</v>
      </c>
      <c r="C3" t="b">
        <v>1</v>
      </c>
      <c r="D3">
        <v>5</v>
      </c>
      <c r="E3">
        <v>5</v>
      </c>
    </row>
    <row r="4" spans="1:6">
      <c r="A4" t="s">
        <v>186</v>
      </c>
      <c r="B4" t="s">
        <v>13</v>
      </c>
      <c r="C4" t="b">
        <v>1</v>
      </c>
      <c r="D4">
        <v>10</v>
      </c>
      <c r="E4">
        <v>10</v>
      </c>
    </row>
    <row r="5" spans="1:6">
      <c r="A5" t="s">
        <v>186</v>
      </c>
      <c r="B5" t="s">
        <v>14</v>
      </c>
      <c r="C5" t="b">
        <v>1</v>
      </c>
      <c r="D5">
        <v>6</v>
      </c>
      <c r="E5">
        <v>6</v>
      </c>
    </row>
    <row r="6" spans="1:6">
      <c r="A6" t="s">
        <v>186</v>
      </c>
      <c r="B6" t="s">
        <v>15</v>
      </c>
      <c r="C6" t="b">
        <v>0</v>
      </c>
      <c r="D6">
        <v>10</v>
      </c>
      <c r="E6">
        <v>0</v>
      </c>
    </row>
    <row r="7" spans="1:6">
      <c r="A7" t="s">
        <v>186</v>
      </c>
      <c r="B7" t="s">
        <v>16</v>
      </c>
      <c r="C7" t="b">
        <v>1</v>
      </c>
      <c r="D7">
        <v>5</v>
      </c>
      <c r="E7">
        <v>5</v>
      </c>
    </row>
    <row r="8" spans="1:6">
      <c r="A8" t="s">
        <v>186</v>
      </c>
      <c r="B8" t="s">
        <v>17</v>
      </c>
      <c r="C8" t="b">
        <v>1</v>
      </c>
      <c r="D8">
        <v>10</v>
      </c>
      <c r="E8">
        <v>10</v>
      </c>
    </row>
    <row r="9" spans="1:6">
      <c r="A9" t="s">
        <v>186</v>
      </c>
      <c r="B9" t="s">
        <v>18</v>
      </c>
      <c r="C9" t="b">
        <v>0</v>
      </c>
      <c r="D9">
        <v>10</v>
      </c>
      <c r="E9">
        <v>0</v>
      </c>
    </row>
    <row r="10" spans="1:6">
      <c r="A10" t="s">
        <v>186</v>
      </c>
      <c r="B10" t="s">
        <v>19</v>
      </c>
      <c r="C10" t="b">
        <v>1</v>
      </c>
      <c r="D10">
        <v>10</v>
      </c>
      <c r="E10">
        <v>10</v>
      </c>
    </row>
    <row r="11" spans="1:6">
      <c r="A11" t="s">
        <v>186</v>
      </c>
      <c r="B11" t="s">
        <v>20</v>
      </c>
      <c r="C11" t="b">
        <v>1</v>
      </c>
      <c r="D11">
        <v>6</v>
      </c>
      <c r="E11">
        <v>6</v>
      </c>
    </row>
    <row r="12" spans="1:6">
      <c r="A12" t="s">
        <v>186</v>
      </c>
      <c r="B12" t="s">
        <v>21</v>
      </c>
      <c r="C12" t="b">
        <v>1</v>
      </c>
      <c r="D12">
        <v>6</v>
      </c>
      <c r="E12">
        <v>6</v>
      </c>
    </row>
    <row r="13" spans="1:6">
      <c r="A13" t="s">
        <v>186</v>
      </c>
      <c r="B13" t="s">
        <v>22</v>
      </c>
      <c r="C13" t="b">
        <v>1</v>
      </c>
      <c r="D13">
        <v>7</v>
      </c>
      <c r="E13">
        <v>7</v>
      </c>
    </row>
    <row r="14" spans="1:6">
      <c r="A14" t="s">
        <v>186</v>
      </c>
      <c r="B14" t="s">
        <v>23</v>
      </c>
      <c r="C14" t="b">
        <v>1</v>
      </c>
      <c r="D14">
        <v>5</v>
      </c>
      <c r="E14">
        <v>5</v>
      </c>
    </row>
    <row r="15" spans="1:6">
      <c r="A15" t="s">
        <v>186</v>
      </c>
      <c r="B15" t="s">
        <v>24</v>
      </c>
      <c r="C15" t="b">
        <v>1</v>
      </c>
      <c r="D15">
        <v>6</v>
      </c>
      <c r="E15">
        <v>6</v>
      </c>
    </row>
    <row r="16" spans="1:6">
      <c r="A16" t="s">
        <v>186</v>
      </c>
      <c r="B16" t="s">
        <v>25</v>
      </c>
      <c r="C16" t="b">
        <v>1</v>
      </c>
      <c r="D16">
        <v>5</v>
      </c>
      <c r="E16">
        <v>5</v>
      </c>
    </row>
    <row r="17" spans="1:5">
      <c r="A17" t="s">
        <v>186</v>
      </c>
      <c r="B17" t="s">
        <v>26</v>
      </c>
      <c r="C17" t="b">
        <v>1</v>
      </c>
      <c r="D17">
        <v>16</v>
      </c>
      <c r="E17">
        <v>16</v>
      </c>
    </row>
    <row r="18" spans="1:5">
      <c r="A18" t="s">
        <v>186</v>
      </c>
      <c r="B18" t="s">
        <v>27</v>
      </c>
      <c r="C18" t="b">
        <v>0</v>
      </c>
      <c r="D18">
        <v>10</v>
      </c>
      <c r="E18">
        <v>0</v>
      </c>
    </row>
    <row r="19" spans="1:5">
      <c r="A19" t="s">
        <v>186</v>
      </c>
      <c r="B19" t="s">
        <v>28</v>
      </c>
      <c r="C19" t="b">
        <v>0</v>
      </c>
      <c r="D19">
        <v>25</v>
      </c>
      <c r="E19">
        <v>15</v>
      </c>
    </row>
    <row r="20" spans="1:5">
      <c r="A20" t="s">
        <v>186</v>
      </c>
      <c r="B20" t="s">
        <v>29</v>
      </c>
      <c r="C20" t="b">
        <v>1</v>
      </c>
      <c r="D20">
        <v>10</v>
      </c>
      <c r="E20">
        <v>10</v>
      </c>
    </row>
    <row r="21" spans="1:5">
      <c r="A21" t="s">
        <v>186</v>
      </c>
      <c r="B21" t="s">
        <v>30</v>
      </c>
      <c r="C21" t="b">
        <v>1</v>
      </c>
      <c r="D21">
        <v>6</v>
      </c>
      <c r="E21">
        <v>6</v>
      </c>
    </row>
    <row r="22" spans="1:5">
      <c r="A22" t="s">
        <v>186</v>
      </c>
      <c r="B22" t="s">
        <v>31</v>
      </c>
      <c r="C22" t="b">
        <v>1</v>
      </c>
      <c r="D22">
        <v>6</v>
      </c>
      <c r="E22">
        <v>6</v>
      </c>
    </row>
    <row r="23" spans="1:5">
      <c r="A23" t="s">
        <v>186</v>
      </c>
      <c r="B23" t="s">
        <v>32</v>
      </c>
      <c r="C23" t="b">
        <v>1</v>
      </c>
      <c r="D23">
        <v>7</v>
      </c>
      <c r="E23">
        <v>7</v>
      </c>
    </row>
    <row r="24" spans="1:5">
      <c r="A24" t="s">
        <v>186</v>
      </c>
      <c r="B24" t="s">
        <v>33</v>
      </c>
      <c r="C24" t="b">
        <v>1</v>
      </c>
      <c r="D24">
        <v>5</v>
      </c>
      <c r="E24">
        <v>5</v>
      </c>
    </row>
    <row r="25" spans="1:5">
      <c r="A25" t="s">
        <v>186</v>
      </c>
      <c r="B25" t="s">
        <v>137</v>
      </c>
      <c r="C25" t="b">
        <v>1</v>
      </c>
      <c r="D25">
        <v>27</v>
      </c>
      <c r="E25">
        <v>27</v>
      </c>
    </row>
    <row r="26" spans="1:5">
      <c r="A26" t="s">
        <v>186</v>
      </c>
      <c r="B26" t="s">
        <v>138</v>
      </c>
      <c r="C26" t="b">
        <v>0</v>
      </c>
      <c r="D26">
        <v>45</v>
      </c>
      <c r="E26">
        <v>25</v>
      </c>
    </row>
    <row r="27" spans="1:5">
      <c r="A27" t="s">
        <v>186</v>
      </c>
      <c r="B27" t="s">
        <v>139</v>
      </c>
      <c r="C27" t="b">
        <v>1</v>
      </c>
      <c r="D27">
        <v>12</v>
      </c>
      <c r="E27">
        <v>12</v>
      </c>
    </row>
    <row r="28" spans="1:5">
      <c r="A28" t="s">
        <v>186</v>
      </c>
      <c r="B28" t="s">
        <v>140</v>
      </c>
      <c r="C28" t="b">
        <v>1</v>
      </c>
      <c r="D28">
        <v>12</v>
      </c>
      <c r="E28">
        <v>12</v>
      </c>
    </row>
    <row r="29" spans="1:5">
      <c r="A29" t="s">
        <v>186</v>
      </c>
      <c r="B29" t="s">
        <v>94</v>
      </c>
      <c r="C29" t="b">
        <v>0</v>
      </c>
      <c r="D29">
        <v>96</v>
      </c>
      <c r="E29">
        <v>76</v>
      </c>
    </row>
  </sheetData>
  <sheetProtection algorithmName="SHA-512" hashValue="Mqs4ZvCEv7nduvSNQT6XHDQnEbY8LLuKFoZB69omJjOjGiL8cR0m5rshIHqeY2PZMOvESZpvBMM9qbKYXhEAqw==" saltValue="dUBlkUNQf1CNQblMjkpqcw==" spinCount="100000" sheet="1" objects="1" scenarios="1" formatCells="0"/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9"/>
  <sheetViews>
    <sheetView workbookViewId="0">
      <pane ySplit="1" topLeftCell="A4" activePane="bottomLeft" state="frozen"/>
      <selection sqref="A1:G1"/>
      <selection pane="bottomLeft" activeCell="A2" sqref="A2"/>
    </sheetView>
  </sheetViews>
  <sheetFormatPr defaultColWidth="9.1796875" defaultRowHeight="14.5"/>
  <cols>
    <col min="1" max="1" width="24.81640625" customWidth="1"/>
    <col min="2" max="2" width="19" customWidth="1"/>
    <col min="3" max="3" width="14.7265625" customWidth="1"/>
    <col min="4" max="4" width="16" customWidth="1"/>
    <col min="5" max="5" width="9.26953125" style="1"/>
    <col min="6" max="6" width="21.26953125" customWidth="1"/>
  </cols>
  <sheetData>
    <row r="1" spans="1:6" s="2" customFormat="1">
      <c r="A1" s="2" t="s">
        <v>7</v>
      </c>
      <c r="B1" s="2" t="s">
        <v>8</v>
      </c>
      <c r="C1" s="2" t="s">
        <v>9</v>
      </c>
      <c r="D1" s="2" t="s">
        <v>10</v>
      </c>
      <c r="E1" s="3"/>
      <c r="F1" s="2" t="s">
        <v>68</v>
      </c>
    </row>
    <row r="2" spans="1:6">
      <c r="A2" t="s">
        <v>105</v>
      </c>
      <c r="B2" t="s">
        <v>11</v>
      </c>
      <c r="C2" t="s">
        <v>168</v>
      </c>
      <c r="E2"/>
    </row>
    <row r="3" spans="1:6">
      <c r="A3" t="s">
        <v>106</v>
      </c>
      <c r="B3" t="s">
        <v>12</v>
      </c>
      <c r="C3" t="s">
        <v>169</v>
      </c>
      <c r="E3"/>
    </row>
    <row r="4" spans="1:6">
      <c r="A4" t="s">
        <v>107</v>
      </c>
      <c r="B4" t="s">
        <v>13</v>
      </c>
      <c r="C4" t="s">
        <v>170</v>
      </c>
      <c r="E4"/>
    </row>
    <row r="5" spans="1:6">
      <c r="A5" t="s">
        <v>108</v>
      </c>
      <c r="B5" t="s">
        <v>14</v>
      </c>
      <c r="C5" t="s">
        <v>171</v>
      </c>
      <c r="E5"/>
    </row>
    <row r="6" spans="1:6">
      <c r="A6" t="s">
        <v>109</v>
      </c>
      <c r="B6" t="s">
        <v>15</v>
      </c>
      <c r="C6" t="s">
        <v>172</v>
      </c>
      <c r="E6"/>
    </row>
    <row r="7" spans="1:6">
      <c r="B7" t="s">
        <v>16</v>
      </c>
      <c r="C7" t="s">
        <v>173</v>
      </c>
      <c r="E7"/>
    </row>
    <row r="8" spans="1:6">
      <c r="B8" t="s">
        <v>17</v>
      </c>
      <c r="C8" t="s">
        <v>174</v>
      </c>
      <c r="E8"/>
    </row>
    <row r="9" spans="1:6">
      <c r="B9" t="s">
        <v>18</v>
      </c>
      <c r="C9" t="s">
        <v>175</v>
      </c>
      <c r="E9"/>
    </row>
    <row r="10" spans="1:6">
      <c r="B10" t="s">
        <v>19</v>
      </c>
      <c r="C10" t="s">
        <v>176</v>
      </c>
      <c r="E10"/>
    </row>
    <row r="11" spans="1:6">
      <c r="B11" t="s">
        <v>20</v>
      </c>
      <c r="C11" t="s">
        <v>177</v>
      </c>
      <c r="E11"/>
    </row>
    <row r="12" spans="1:6">
      <c r="B12" t="s">
        <v>21</v>
      </c>
      <c r="C12" t="s">
        <v>178</v>
      </c>
      <c r="E12"/>
    </row>
    <row r="13" spans="1:6">
      <c r="B13" t="s">
        <v>22</v>
      </c>
      <c r="C13" t="s">
        <v>179</v>
      </c>
      <c r="E13"/>
    </row>
    <row r="14" spans="1:6">
      <c r="B14" t="s">
        <v>23</v>
      </c>
      <c r="C14" t="s">
        <v>180</v>
      </c>
      <c r="E14"/>
    </row>
    <row r="15" spans="1:6">
      <c r="B15" t="s">
        <v>24</v>
      </c>
      <c r="C15" t="s">
        <v>101</v>
      </c>
      <c r="D15" t="s">
        <v>101</v>
      </c>
    </row>
    <row r="16" spans="1:6">
      <c r="B16" t="s">
        <v>25</v>
      </c>
      <c r="C16" t="s">
        <v>102</v>
      </c>
      <c r="D16" t="s">
        <v>102</v>
      </c>
    </row>
    <row r="17" spans="2:4">
      <c r="B17" t="s">
        <v>26</v>
      </c>
      <c r="C17" t="s">
        <v>37</v>
      </c>
      <c r="D17" t="s">
        <v>97</v>
      </c>
    </row>
    <row r="18" spans="2:4">
      <c r="B18" t="s">
        <v>27</v>
      </c>
      <c r="C18" t="s">
        <v>89</v>
      </c>
      <c r="D18" t="s">
        <v>89</v>
      </c>
    </row>
    <row r="19" spans="2:4">
      <c r="B19" t="s">
        <v>28</v>
      </c>
      <c r="C19" t="s">
        <v>90</v>
      </c>
      <c r="D19" t="s">
        <v>162</v>
      </c>
    </row>
    <row r="20" spans="2:4">
      <c r="B20" t="s">
        <v>29</v>
      </c>
      <c r="C20" t="s">
        <v>163</v>
      </c>
      <c r="D20" t="s">
        <v>163</v>
      </c>
    </row>
    <row r="21" spans="2:4">
      <c r="B21" t="s">
        <v>30</v>
      </c>
      <c r="C21" t="s">
        <v>91</v>
      </c>
      <c r="D21" t="s">
        <v>91</v>
      </c>
    </row>
    <row r="22" spans="2:4">
      <c r="B22" t="s">
        <v>31</v>
      </c>
      <c r="C22" t="s">
        <v>92</v>
      </c>
      <c r="D22" t="s">
        <v>92</v>
      </c>
    </row>
    <row r="23" spans="2:4">
      <c r="B23" t="s">
        <v>32</v>
      </c>
      <c r="C23" t="s">
        <v>98</v>
      </c>
      <c r="D23" t="s">
        <v>98</v>
      </c>
    </row>
    <row r="24" spans="2:4">
      <c r="B24" t="s">
        <v>33</v>
      </c>
      <c r="C24" t="s">
        <v>99</v>
      </c>
      <c r="D24" t="s">
        <v>99</v>
      </c>
    </row>
    <row r="25" spans="2:4">
      <c r="B25" t="s">
        <v>137</v>
      </c>
      <c r="C25" t="s">
        <v>181</v>
      </c>
    </row>
    <row r="26" spans="2:4">
      <c r="B26" t="s">
        <v>138</v>
      </c>
      <c r="C26" t="s">
        <v>182</v>
      </c>
    </row>
    <row r="27" spans="2:4">
      <c r="B27" t="s">
        <v>139</v>
      </c>
      <c r="C27" t="s">
        <v>183</v>
      </c>
    </row>
    <row r="28" spans="2:4">
      <c r="B28" t="s">
        <v>140</v>
      </c>
      <c r="C28" t="s">
        <v>184</v>
      </c>
    </row>
    <row r="29" spans="2:4">
      <c r="B29" t="s">
        <v>94</v>
      </c>
      <c r="C29" t="s">
        <v>185</v>
      </c>
    </row>
  </sheetData>
  <sheetProtection algorithmName="SHA-512" hashValue="gpdYE/RsZ+4CvcmfwxoV9bbhNziPLuSinCX+1QrzsWEMJbVqRvNCRCUQRJBMCLYZievin3dMgwOrmujqUQ2jMw==" saltValue="p9fs3obD0nUT7Pyy0qksjw==" spinCount="100000" sheet="1" objects="1" scenarios="1" formatCells="0"/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1"/>
  <sheetViews>
    <sheetView workbookViewId="0">
      <selection activeCell="C3" sqref="C3"/>
    </sheetView>
  </sheetViews>
  <sheetFormatPr defaultColWidth="9.26953125" defaultRowHeight="14.5"/>
  <cols>
    <col min="1" max="1" width="13.26953125" style="89" customWidth="1"/>
    <col min="2" max="2" width="18.7265625" customWidth="1"/>
    <col min="3" max="3" width="18.26953125" customWidth="1"/>
    <col min="4" max="16384" width="9.26953125" style="87"/>
  </cols>
  <sheetData>
    <row r="1" spans="1:3">
      <c r="A1" s="89" t="s">
        <v>110</v>
      </c>
      <c r="B1" t="s">
        <v>111</v>
      </c>
      <c r="C1" t="s">
        <v>112</v>
      </c>
    </row>
    <row r="2" spans="1:3">
      <c r="A2" s="89">
        <v>1</v>
      </c>
      <c r="B2" t="s">
        <v>187</v>
      </c>
      <c r="C2" t="s">
        <v>32</v>
      </c>
    </row>
    <row r="3" spans="1:3">
      <c r="A3" s="89">
        <v>1</v>
      </c>
      <c r="B3" t="s">
        <v>188</v>
      </c>
      <c r="C3">
        <v>2016</v>
      </c>
    </row>
    <row r="4" spans="1:3">
      <c r="A4" s="89">
        <v>1</v>
      </c>
      <c r="B4" t="s">
        <v>11</v>
      </c>
      <c r="C4" t="s">
        <v>0</v>
      </c>
    </row>
    <row r="5" spans="1:3">
      <c r="A5" s="89">
        <v>1</v>
      </c>
      <c r="B5" t="s">
        <v>12</v>
      </c>
      <c r="C5" t="s">
        <v>0</v>
      </c>
    </row>
    <row r="6" spans="1:3">
      <c r="A6" s="89">
        <v>1</v>
      </c>
      <c r="B6" t="s">
        <v>13</v>
      </c>
      <c r="C6" t="s">
        <v>0</v>
      </c>
    </row>
    <row r="7" spans="1:3">
      <c r="A7" s="89">
        <v>1</v>
      </c>
      <c r="B7" t="s">
        <v>14</v>
      </c>
      <c r="C7" t="s">
        <v>0</v>
      </c>
    </row>
    <row r="8" spans="1:3">
      <c r="A8" s="89">
        <v>1</v>
      </c>
      <c r="B8" t="s">
        <v>15</v>
      </c>
      <c r="C8" t="s">
        <v>0</v>
      </c>
    </row>
    <row r="9" spans="1:3">
      <c r="A9" s="89">
        <v>1</v>
      </c>
      <c r="B9" t="s">
        <v>16</v>
      </c>
      <c r="C9" t="s">
        <v>0</v>
      </c>
    </row>
    <row r="10" spans="1:3">
      <c r="A10" s="89">
        <v>1</v>
      </c>
      <c r="B10" t="s">
        <v>17</v>
      </c>
      <c r="C10" t="s">
        <v>0</v>
      </c>
    </row>
    <row r="11" spans="1:3">
      <c r="A11" s="89">
        <v>1</v>
      </c>
      <c r="B11" t="s">
        <v>18</v>
      </c>
      <c r="C11" t="s">
        <v>0</v>
      </c>
    </row>
    <row r="12" spans="1:3">
      <c r="A12" s="89">
        <v>1</v>
      </c>
      <c r="B12" t="s">
        <v>19</v>
      </c>
      <c r="C12" t="s">
        <v>0</v>
      </c>
    </row>
    <row r="13" spans="1:3">
      <c r="A13" s="89">
        <v>1</v>
      </c>
      <c r="B13" t="s">
        <v>20</v>
      </c>
      <c r="C13" t="s">
        <v>0</v>
      </c>
    </row>
    <row r="14" spans="1:3">
      <c r="A14" s="89">
        <v>1</v>
      </c>
      <c r="B14" t="s">
        <v>21</v>
      </c>
      <c r="C14" t="s">
        <v>0</v>
      </c>
    </row>
    <row r="15" spans="1:3">
      <c r="A15" s="89">
        <v>1</v>
      </c>
      <c r="B15" t="s">
        <v>22</v>
      </c>
      <c r="C15" t="s">
        <v>0</v>
      </c>
    </row>
    <row r="16" spans="1:3">
      <c r="A16" s="89">
        <v>1</v>
      </c>
      <c r="B16" t="s">
        <v>23</v>
      </c>
      <c r="C16" t="s">
        <v>0</v>
      </c>
    </row>
    <row r="17" spans="1:3">
      <c r="A17" s="89">
        <v>1</v>
      </c>
      <c r="B17" t="s">
        <v>137</v>
      </c>
      <c r="C17" s="163">
        <v>1</v>
      </c>
    </row>
    <row r="18" spans="1:3">
      <c r="A18" s="89">
        <v>1</v>
      </c>
      <c r="B18" t="s">
        <v>138</v>
      </c>
      <c r="C18" s="163">
        <v>1</v>
      </c>
    </row>
    <row r="19" spans="1:3">
      <c r="A19" s="89">
        <v>1</v>
      </c>
      <c r="B19" t="s">
        <v>139</v>
      </c>
      <c r="C19" s="163">
        <v>1</v>
      </c>
    </row>
    <row r="20" spans="1:3">
      <c r="A20" s="89">
        <v>1</v>
      </c>
      <c r="B20" t="s">
        <v>140</v>
      </c>
      <c r="C20" s="163">
        <v>1</v>
      </c>
    </row>
    <row r="21" spans="1:3">
      <c r="A21" s="89">
        <v>1</v>
      </c>
      <c r="B21" t="s">
        <v>94</v>
      </c>
      <c r="C21" s="163">
        <v>1</v>
      </c>
    </row>
    <row r="22" spans="1:3">
      <c r="A22" s="89">
        <v>2</v>
      </c>
      <c r="B22" t="s">
        <v>187</v>
      </c>
      <c r="C22" t="s">
        <v>189</v>
      </c>
    </row>
    <row r="23" spans="1:3">
      <c r="A23" s="89">
        <v>2</v>
      </c>
      <c r="B23" t="s">
        <v>188</v>
      </c>
      <c r="C23">
        <v>2015</v>
      </c>
    </row>
    <row r="24" spans="1:3">
      <c r="A24" s="89">
        <v>2</v>
      </c>
      <c r="B24" t="s">
        <v>11</v>
      </c>
      <c r="C24" t="s">
        <v>2</v>
      </c>
    </row>
    <row r="25" spans="1:3">
      <c r="A25" s="89">
        <v>2</v>
      </c>
      <c r="B25" t="s">
        <v>12</v>
      </c>
      <c r="C25" t="s">
        <v>2</v>
      </c>
    </row>
    <row r="26" spans="1:3">
      <c r="A26" s="89">
        <v>2</v>
      </c>
      <c r="B26" t="s">
        <v>13</v>
      </c>
      <c r="C26" t="s">
        <v>2</v>
      </c>
    </row>
    <row r="27" spans="1:3">
      <c r="A27" s="89">
        <v>2</v>
      </c>
      <c r="B27" t="s">
        <v>14</v>
      </c>
      <c r="C27" t="s">
        <v>2</v>
      </c>
    </row>
    <row r="28" spans="1:3">
      <c r="A28" s="89">
        <v>2</v>
      </c>
      <c r="B28" t="s">
        <v>15</v>
      </c>
      <c r="C28" t="s">
        <v>2</v>
      </c>
    </row>
    <row r="29" spans="1:3">
      <c r="A29" s="89">
        <v>2</v>
      </c>
      <c r="B29" t="s">
        <v>16</v>
      </c>
      <c r="C29" t="s">
        <v>2</v>
      </c>
    </row>
    <row r="30" spans="1:3">
      <c r="A30" s="89">
        <v>2</v>
      </c>
      <c r="B30" t="s">
        <v>17</v>
      </c>
      <c r="C30" t="s">
        <v>2</v>
      </c>
    </row>
    <row r="31" spans="1:3">
      <c r="A31" s="89">
        <v>2</v>
      </c>
      <c r="B31" t="s">
        <v>18</v>
      </c>
      <c r="C31" t="s">
        <v>2</v>
      </c>
    </row>
    <row r="32" spans="1:3">
      <c r="A32" s="89">
        <v>2</v>
      </c>
      <c r="B32" t="s">
        <v>19</v>
      </c>
      <c r="C32" t="s">
        <v>2</v>
      </c>
    </row>
    <row r="33" spans="1:3">
      <c r="A33" s="89">
        <v>2</v>
      </c>
      <c r="B33" t="s">
        <v>20</v>
      </c>
      <c r="C33" t="s">
        <v>2</v>
      </c>
    </row>
    <row r="34" spans="1:3">
      <c r="A34" s="89">
        <v>2</v>
      </c>
      <c r="B34" t="s">
        <v>21</v>
      </c>
      <c r="C34" t="s">
        <v>2</v>
      </c>
    </row>
    <row r="35" spans="1:3">
      <c r="A35" s="89">
        <v>2</v>
      </c>
      <c r="B35" t="s">
        <v>22</v>
      </c>
      <c r="C35" t="s">
        <v>2</v>
      </c>
    </row>
    <row r="36" spans="1:3">
      <c r="A36" s="89">
        <v>2</v>
      </c>
      <c r="B36" t="s">
        <v>23</v>
      </c>
      <c r="C36" t="s">
        <v>2</v>
      </c>
    </row>
    <row r="37" spans="1:3">
      <c r="A37" s="89">
        <v>2</v>
      </c>
      <c r="B37" t="s">
        <v>137</v>
      </c>
      <c r="C37" s="163">
        <v>0.63</v>
      </c>
    </row>
    <row r="38" spans="1:3">
      <c r="A38" s="89">
        <v>2</v>
      </c>
      <c r="B38" t="s">
        <v>138</v>
      </c>
      <c r="C38" s="163">
        <v>0.11</v>
      </c>
    </row>
    <row r="39" spans="1:3">
      <c r="A39" s="89">
        <v>2</v>
      </c>
      <c r="B39" t="s">
        <v>139</v>
      </c>
      <c r="C39" s="163">
        <v>1</v>
      </c>
    </row>
    <row r="40" spans="1:3">
      <c r="A40" s="89">
        <v>2</v>
      </c>
      <c r="B40" t="s">
        <v>140</v>
      </c>
      <c r="C40" s="163">
        <v>1</v>
      </c>
    </row>
    <row r="41" spans="1:3">
      <c r="A41" s="89">
        <v>2</v>
      </c>
      <c r="B41" t="s">
        <v>94</v>
      </c>
      <c r="C41" s="163">
        <v>0.48</v>
      </c>
    </row>
    <row r="42" spans="1:3">
      <c r="A42" s="89">
        <v>3</v>
      </c>
      <c r="B42" t="s">
        <v>187</v>
      </c>
      <c r="C42" t="s">
        <v>190</v>
      </c>
    </row>
    <row r="43" spans="1:3">
      <c r="A43" s="89">
        <v>3</v>
      </c>
      <c r="B43" t="s">
        <v>188</v>
      </c>
      <c r="C43">
        <v>2014</v>
      </c>
    </row>
    <row r="44" spans="1:3">
      <c r="A44" s="89">
        <v>3</v>
      </c>
      <c r="B44" t="s">
        <v>11</v>
      </c>
      <c r="C44" t="s">
        <v>0</v>
      </c>
    </row>
    <row r="45" spans="1:3">
      <c r="A45" s="89">
        <v>3</v>
      </c>
      <c r="B45" t="s">
        <v>12</v>
      </c>
      <c r="C45" t="s">
        <v>0</v>
      </c>
    </row>
    <row r="46" spans="1:3">
      <c r="A46" s="89">
        <v>3</v>
      </c>
      <c r="B46" t="s">
        <v>13</v>
      </c>
      <c r="C46" t="s">
        <v>2</v>
      </c>
    </row>
    <row r="47" spans="1:3">
      <c r="A47" s="89">
        <v>3</v>
      </c>
      <c r="B47" t="s">
        <v>14</v>
      </c>
      <c r="C47" t="s">
        <v>0</v>
      </c>
    </row>
    <row r="48" spans="1:3">
      <c r="A48" s="89">
        <v>3</v>
      </c>
      <c r="B48" t="s">
        <v>15</v>
      </c>
      <c r="C48" t="s">
        <v>2</v>
      </c>
    </row>
    <row r="49" spans="1:3">
      <c r="A49" s="89">
        <v>3</v>
      </c>
      <c r="B49" t="s">
        <v>16</v>
      </c>
      <c r="C49" t="s">
        <v>0</v>
      </c>
    </row>
    <row r="50" spans="1:3">
      <c r="A50" s="89">
        <v>3</v>
      </c>
      <c r="B50" t="s">
        <v>17</v>
      </c>
      <c r="C50" t="s">
        <v>2</v>
      </c>
    </row>
    <row r="51" spans="1:3">
      <c r="A51" s="89">
        <v>3</v>
      </c>
      <c r="B51" t="s">
        <v>18</v>
      </c>
      <c r="C51" t="s">
        <v>2</v>
      </c>
    </row>
    <row r="52" spans="1:3">
      <c r="A52" s="89">
        <v>3</v>
      </c>
      <c r="B52" t="s">
        <v>19</v>
      </c>
      <c r="C52" t="s">
        <v>2</v>
      </c>
    </row>
    <row r="53" spans="1:3">
      <c r="A53" s="89">
        <v>3</v>
      </c>
      <c r="B53" t="s">
        <v>20</v>
      </c>
      <c r="C53" t="s">
        <v>0</v>
      </c>
    </row>
    <row r="54" spans="1:3">
      <c r="A54" s="89">
        <v>3</v>
      </c>
      <c r="B54" t="s">
        <v>21</v>
      </c>
      <c r="C54" t="s">
        <v>0</v>
      </c>
    </row>
    <row r="55" spans="1:3">
      <c r="A55" s="89">
        <v>3</v>
      </c>
      <c r="B55" t="s">
        <v>22</v>
      </c>
      <c r="C55" t="s">
        <v>0</v>
      </c>
    </row>
    <row r="56" spans="1:3">
      <c r="A56" s="89">
        <v>3</v>
      </c>
      <c r="B56" t="s">
        <v>23</v>
      </c>
      <c r="C56" t="s">
        <v>0</v>
      </c>
    </row>
    <row r="57" spans="1:3">
      <c r="A57" s="89">
        <v>3</v>
      </c>
      <c r="B57" t="s">
        <v>137</v>
      </c>
      <c r="C57" s="163">
        <v>0.63</v>
      </c>
    </row>
    <row r="58" spans="1:3">
      <c r="A58" s="89">
        <v>3</v>
      </c>
      <c r="B58" t="s">
        <v>138</v>
      </c>
      <c r="C58" s="163">
        <v>0.11</v>
      </c>
    </row>
    <row r="59" spans="1:3">
      <c r="A59" s="89">
        <v>3</v>
      </c>
      <c r="B59" t="s">
        <v>139</v>
      </c>
      <c r="C59" s="163">
        <v>1</v>
      </c>
    </row>
    <row r="60" spans="1:3">
      <c r="A60" s="89">
        <v>3</v>
      </c>
      <c r="B60" t="s">
        <v>140</v>
      </c>
      <c r="C60" s="163">
        <v>1</v>
      </c>
    </row>
    <row r="61" spans="1:3">
      <c r="A61" s="89">
        <v>3</v>
      </c>
      <c r="B61" t="s">
        <v>94</v>
      </c>
      <c r="C61" s="163">
        <v>0.48</v>
      </c>
    </row>
    <row r="62" spans="1:3">
      <c r="A62" s="89">
        <v>4</v>
      </c>
      <c r="B62" t="s">
        <v>187</v>
      </c>
      <c r="C62" t="s">
        <v>191</v>
      </c>
    </row>
    <row r="63" spans="1:3">
      <c r="A63" s="89">
        <v>4</v>
      </c>
      <c r="B63" t="s">
        <v>188</v>
      </c>
      <c r="C63">
        <v>2013</v>
      </c>
    </row>
    <row r="64" spans="1:3">
      <c r="A64" s="89">
        <v>4</v>
      </c>
      <c r="B64" t="s">
        <v>11</v>
      </c>
      <c r="C64" t="s">
        <v>0</v>
      </c>
    </row>
    <row r="65" spans="1:3">
      <c r="A65" s="89">
        <v>4</v>
      </c>
      <c r="B65" t="s">
        <v>12</v>
      </c>
      <c r="C65" t="s">
        <v>2</v>
      </c>
    </row>
    <row r="66" spans="1:3">
      <c r="A66" s="89">
        <v>4</v>
      </c>
      <c r="B66" t="s">
        <v>13</v>
      </c>
      <c r="C66" t="s">
        <v>38</v>
      </c>
    </row>
    <row r="67" spans="1:3">
      <c r="A67" s="89">
        <v>4</v>
      </c>
      <c r="B67" t="s">
        <v>14</v>
      </c>
      <c r="C67" t="s">
        <v>0</v>
      </c>
    </row>
    <row r="68" spans="1:3">
      <c r="A68" s="89">
        <v>4</v>
      </c>
      <c r="B68" t="s">
        <v>15</v>
      </c>
      <c r="C68" t="s">
        <v>2</v>
      </c>
    </row>
    <row r="69" spans="1:3">
      <c r="A69" s="89">
        <v>4</v>
      </c>
      <c r="B69" t="s">
        <v>16</v>
      </c>
      <c r="C69" t="s">
        <v>38</v>
      </c>
    </row>
    <row r="70" spans="1:3">
      <c r="A70" s="89">
        <v>4</v>
      </c>
      <c r="B70" t="s">
        <v>17</v>
      </c>
      <c r="C70" t="s">
        <v>0</v>
      </c>
    </row>
    <row r="71" spans="1:3">
      <c r="A71" s="89">
        <v>4</v>
      </c>
      <c r="B71" t="s">
        <v>18</v>
      </c>
      <c r="C71" t="s">
        <v>2</v>
      </c>
    </row>
    <row r="72" spans="1:3">
      <c r="A72" s="89">
        <v>4</v>
      </c>
      <c r="B72" t="s">
        <v>19</v>
      </c>
      <c r="C72" t="s">
        <v>38</v>
      </c>
    </row>
    <row r="73" spans="1:3">
      <c r="A73" s="89">
        <v>4</v>
      </c>
      <c r="B73" t="s">
        <v>20</v>
      </c>
      <c r="C73" t="s">
        <v>0</v>
      </c>
    </row>
    <row r="74" spans="1:3">
      <c r="A74" s="89">
        <v>4</v>
      </c>
      <c r="B74" t="s">
        <v>21</v>
      </c>
      <c r="C74" t="s">
        <v>2</v>
      </c>
    </row>
    <row r="75" spans="1:3">
      <c r="A75" s="89">
        <v>4</v>
      </c>
      <c r="B75" t="s">
        <v>22</v>
      </c>
      <c r="C75" t="s">
        <v>38</v>
      </c>
    </row>
    <row r="76" spans="1:3">
      <c r="A76" s="89">
        <v>4</v>
      </c>
      <c r="B76" t="s">
        <v>23</v>
      </c>
      <c r="C76" t="s">
        <v>0</v>
      </c>
    </row>
    <row r="77" spans="1:3">
      <c r="A77" s="89">
        <v>4</v>
      </c>
      <c r="B77" t="s">
        <v>137</v>
      </c>
      <c r="C77" s="163">
        <v>1</v>
      </c>
    </row>
    <row r="78" spans="1:3">
      <c r="A78" s="89">
        <v>4</v>
      </c>
      <c r="B78" t="s">
        <v>138</v>
      </c>
      <c r="C78" s="163">
        <v>0.56000000000000005</v>
      </c>
    </row>
    <row r="79" spans="1:3">
      <c r="A79" s="89">
        <v>4</v>
      </c>
      <c r="B79" t="s">
        <v>139</v>
      </c>
      <c r="C79" s="163">
        <v>1</v>
      </c>
    </row>
    <row r="80" spans="1:3">
      <c r="A80" s="89">
        <v>4</v>
      </c>
      <c r="B80" t="s">
        <v>140</v>
      </c>
      <c r="C80" s="163">
        <v>1</v>
      </c>
    </row>
    <row r="81" spans="1:3">
      <c r="A81" s="89">
        <v>4</v>
      </c>
      <c r="B81" t="s">
        <v>94</v>
      </c>
      <c r="C81" s="163">
        <v>0.79</v>
      </c>
    </row>
  </sheetData>
  <sheetProtection algorithmName="SHA-512" hashValue="1cP6Njg2pZiClBjoF7dwHwNpDalbBatyinKd5dYDC+sDWIXjwpV278n7fjUV1nqYCSyfuwZuH9/RpKkWNAzynw==" saltValue="6S2U/7On7bbhQkA6SVzp0g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G1"/>
    </sheetView>
  </sheetViews>
  <sheetFormatPr defaultColWidth="9.1796875" defaultRowHeight="14.5"/>
  <sheetData/>
  <sheetProtection algorithmName="SHA-512" hashValue="RnVraNvKqAjfWoLbE69Q4iERRUpz91YoKmYJoaAdAm4UnvoT1kbrafLo3HHO/SS2txZpG09DmEkM66Bjmrub0Q==" saltValue="2+GDdo6x0CD1YLKfeFuJWA==" spinCount="100000" sheet="1" objects="1" scenarios="1" formatCell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Checklist</vt:lpstr>
      <vt:lpstr>InputOptions</vt:lpstr>
      <vt:lpstr>MainMenu</vt:lpstr>
      <vt:lpstr>QtyScoreRule</vt:lpstr>
      <vt:lpstr>RuleStore</vt:lpstr>
      <vt:lpstr>RuleResultStore</vt:lpstr>
      <vt:lpstr>ResultMetadata</vt:lpstr>
      <vt:lpstr>RuleMetadata</vt:lpstr>
      <vt:lpstr>PaperReviewStore</vt:lpstr>
      <vt:lpstr>Sheet1</vt:lpstr>
      <vt:lpstr>item1</vt:lpstr>
      <vt:lpstr>item10</vt:lpstr>
      <vt:lpstr>item11</vt:lpstr>
      <vt:lpstr>item12</vt:lpstr>
      <vt:lpstr>item13</vt:lpstr>
      <vt:lpstr>item2</vt:lpstr>
      <vt:lpstr>item3</vt:lpstr>
      <vt:lpstr>item4</vt:lpstr>
      <vt:lpstr>item5</vt:lpstr>
      <vt:lpstr>item6</vt:lpstr>
      <vt:lpstr>item7</vt:lpstr>
      <vt:lpstr>item8</vt:lpstr>
      <vt:lpstr>item9</vt:lpstr>
      <vt:lpstr>listOfYear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florezo</dc:creator>
  <cp:lastModifiedBy>florezo</cp:lastModifiedBy>
  <cp:lastPrinted>2014-10-02T14:48:31Z</cp:lastPrinted>
  <dcterms:created xsi:type="dcterms:W3CDTF">2014-03-25T11:04:11Z</dcterms:created>
  <dcterms:modified xsi:type="dcterms:W3CDTF">2016-02-14T17:01:13Z</dcterms:modified>
</cp:coreProperties>
</file>