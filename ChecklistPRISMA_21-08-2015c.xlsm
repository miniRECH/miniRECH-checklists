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florezo\Documents\University of Manchester\Computer Science PhD\ThesisProject\Checklist\miniMECH\"/>
    </mc:Choice>
  </mc:AlternateContent>
  <bookViews>
    <workbookView xWindow="5370" yWindow="-90" windowWidth="15600" windowHeight="9240" tabRatio="842"/>
  </bookViews>
  <sheets>
    <sheet name="Checklist" sheetId="3" r:id="rId1"/>
    <sheet name="InputOptions" sheetId="4" r:id="rId2"/>
    <sheet name="QtyScoreRule" sheetId="13" r:id="rId3"/>
    <sheet name="MainMenu" sheetId="12" state="hidden" r:id="rId4"/>
    <sheet name="RuleStore" sheetId="6" r:id="rId5"/>
    <sheet name="RuleResultStore" sheetId="8" state="hidden" r:id="rId6"/>
    <sheet name="ResultMetadata" sheetId="9" state="hidden" r:id="rId7"/>
    <sheet name="RuleMetadata" sheetId="7" state="hidden" r:id="rId8"/>
    <sheet name="PaperReviewStore" sheetId="10" state="hidden" r:id="rId9"/>
    <sheet name="Sheet1" sheetId="14" state="hidden" r:id="rId10"/>
  </sheets>
  <functionGroups builtInGroupCount="18"/>
  <definedNames>
    <definedName name="item1">InputOptions!$B$4:$B$5</definedName>
    <definedName name="item10">InputOptions!$K$4:$K$6</definedName>
    <definedName name="item11">InputOptions!$L$4:$L$6</definedName>
    <definedName name="item12">InputOptions!$M$4:$M$6</definedName>
    <definedName name="item13">InputOptions!$N$4:$N$6</definedName>
    <definedName name="item14">InputOptions!$O$4:$O$6</definedName>
    <definedName name="item15">InputOptions!$P$4:$P$5</definedName>
    <definedName name="item16">InputOptions!$Q$4:$Q$6</definedName>
    <definedName name="item17">InputOptions!$R$4:$R$6</definedName>
    <definedName name="item18">InputOptions!$S$4:$S$6</definedName>
    <definedName name="item19">InputOptions!$T$4:$T$6</definedName>
    <definedName name="item2">InputOptions!$C$4:$C$5</definedName>
    <definedName name="item20">InputOptions!$U$4:$U$6</definedName>
    <definedName name="item201">InputOptions!#REF!</definedName>
    <definedName name="item202">InputOptions!#REF!</definedName>
    <definedName name="item203">InputOptions!#REF!</definedName>
    <definedName name="item204">InputOptions!#REF!</definedName>
    <definedName name="item205">InputOptions!#REF!</definedName>
    <definedName name="item206">InputOptions!#REF!</definedName>
    <definedName name="item21">InputOptions!$V$4:$V$6</definedName>
    <definedName name="item22">InputOptions!$W$4:$W$6</definedName>
    <definedName name="item23">InputOptions!$X$4:$X$6</definedName>
    <definedName name="item24">InputOptions!$Y$4:$Y$6</definedName>
    <definedName name="item25">InputOptions!$Z$4:$Z$6</definedName>
    <definedName name="item26">InputOptions!$AA$4:$AA$6</definedName>
    <definedName name="item27">InputOptions!$AB$4:$AB$6</definedName>
    <definedName name="item28">InputOptions!#REF!</definedName>
    <definedName name="item29">InputOptions!#REF!</definedName>
    <definedName name="item3">InputOptions!$D$4:$D$6</definedName>
    <definedName name="item30">InputOptions!$S$4:$S$6</definedName>
    <definedName name="item31">InputOptions!$T$4:$T$6</definedName>
    <definedName name="item32">InputOptions!$U$4:$U$6</definedName>
    <definedName name="item33">InputOptions!$V$4:$V$6</definedName>
    <definedName name="item34">InputOptions!$W$4:$W$6</definedName>
    <definedName name="item35">InputOptions!$X$4:$X$6</definedName>
    <definedName name="item36">InputOptions!$Y$4:$Y$6</definedName>
    <definedName name="item37">InputOptions!$Z$4:$Z$6</definedName>
    <definedName name="item38">InputOptions!$AA$4:$AA$6</definedName>
    <definedName name="item39">InputOptions!$AB$4:$AB$6</definedName>
    <definedName name="item4">InputOptions!$E$4:$E$5</definedName>
    <definedName name="item40">InputOptions!#REF!</definedName>
    <definedName name="item41">InputOptions!$AC$4:$AC$5</definedName>
    <definedName name="item42">InputOptions!$AD$4:$AD$5</definedName>
    <definedName name="item5">InputOptions!$F$4:$F$5</definedName>
    <definedName name="item6">InputOptions!$G$4:$G$6</definedName>
    <definedName name="item7">InputOptions!$H$4:$H$5</definedName>
    <definedName name="item8">InputOptions!$I$4:$I$5</definedName>
    <definedName name="item9">InputOptions!$J$4:$J$6</definedName>
    <definedName name="listOfDisease">InputOptions!#REF!</definedName>
    <definedName name="listOfModel">InputOptions!#REF!</definedName>
    <definedName name="listOfParasite">InputOptions!#REF!</definedName>
    <definedName name="listOfYear">InputOptions!$A$4:$A$59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1" i="13" l="1"/>
  <c r="F60" i="13"/>
  <c r="F59" i="13"/>
  <c r="F58" i="13"/>
  <c r="F57" i="13"/>
  <c r="E60" i="13"/>
  <c r="J60" i="13"/>
  <c r="J58" i="13"/>
  <c r="E57" i="13"/>
  <c r="J48" i="13" l="1"/>
  <c r="J49" i="13"/>
  <c r="J50" i="13"/>
  <c r="J51" i="13"/>
  <c r="J52" i="13"/>
  <c r="J53" i="13"/>
  <c r="J54" i="13"/>
  <c r="J55" i="13"/>
  <c r="J56" i="13"/>
  <c r="J47" i="13"/>
  <c r="J36" i="13"/>
  <c r="J37" i="13"/>
  <c r="J38" i="13"/>
  <c r="J39" i="13"/>
  <c r="J40" i="13"/>
  <c r="J41" i="13"/>
  <c r="J42" i="13"/>
  <c r="J43" i="13"/>
  <c r="J44" i="13"/>
  <c r="J45" i="13"/>
  <c r="J46" i="13"/>
  <c r="J35" i="13"/>
  <c r="J31" i="13"/>
  <c r="J32" i="13"/>
  <c r="J33" i="13"/>
  <c r="J34" i="13"/>
  <c r="J30" i="13"/>
  <c r="F48" i="13"/>
  <c r="F49" i="13"/>
  <c r="E50" i="13" s="1"/>
  <c r="F50" i="13"/>
  <c r="E51" i="13" s="1"/>
  <c r="F51" i="13"/>
  <c r="E52" i="13" s="1"/>
  <c r="F52" i="13"/>
  <c r="F53" i="13"/>
  <c r="E54" i="13" s="1"/>
  <c r="F54" i="13"/>
  <c r="E55" i="13" s="1"/>
  <c r="F55" i="13"/>
  <c r="E56" i="13" s="1"/>
  <c r="F56" i="13"/>
  <c r="F47" i="13"/>
  <c r="E48" i="13" s="1"/>
  <c r="E49" i="13"/>
  <c r="E53" i="13"/>
  <c r="E36" i="13"/>
  <c r="E38" i="13"/>
  <c r="E39" i="13"/>
  <c r="E40" i="13"/>
  <c r="E41" i="13"/>
  <c r="E42" i="13"/>
  <c r="E43" i="13"/>
  <c r="E44" i="13"/>
  <c r="E45" i="13"/>
  <c r="E46" i="13"/>
  <c r="E34" i="13"/>
  <c r="F37" i="13"/>
  <c r="F38" i="13"/>
  <c r="F39" i="13"/>
  <c r="F40" i="13"/>
  <c r="F41" i="13"/>
  <c r="F42" i="13"/>
  <c r="F43" i="13"/>
  <c r="F44" i="13"/>
  <c r="F45" i="13"/>
  <c r="F46" i="13"/>
  <c r="F36" i="13"/>
  <c r="E37" i="13" s="1"/>
  <c r="F35" i="13"/>
  <c r="F33" i="13"/>
  <c r="F34" i="13"/>
  <c r="F32" i="13"/>
  <c r="E33" i="13" s="1"/>
  <c r="F31" i="13"/>
  <c r="E32" i="13" s="1"/>
  <c r="E30" i="13"/>
  <c r="E31" i="13"/>
  <c r="A4" i="4" l="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E61" i="13" l="1"/>
  <c r="E59" i="13"/>
  <c r="E58" i="13"/>
  <c r="E47" i="13"/>
  <c r="E35" i="13"/>
  <c r="J57" i="13" l="1"/>
  <c r="J59" i="13"/>
  <c r="J61" i="13" l="1"/>
</calcChain>
</file>

<file path=xl/sharedStrings.xml><?xml version="1.0" encoding="utf-8"?>
<sst xmlns="http://schemas.openxmlformats.org/spreadsheetml/2006/main" count="1050" uniqueCount="311">
  <si>
    <t>YES</t>
  </si>
  <si>
    <t>Item#</t>
  </si>
  <si>
    <t>Information not available</t>
  </si>
  <si>
    <t>Please input the information of the reviewed paper</t>
  </si>
  <si>
    <t>RuleID</t>
  </si>
  <si>
    <t>RuleExpression</t>
  </si>
  <si>
    <t>RuleAction</t>
  </si>
  <si>
    <t>InterFunction</t>
  </si>
  <si>
    <t>InterVariable</t>
  </si>
  <si>
    <t>InterVarAddress</t>
  </si>
  <si>
    <t>InterVarAddress2</t>
  </si>
  <si>
    <t>QUALITYOK</t>
  </si>
  <si>
    <t>item1</t>
  </si>
  <si>
    <t>ISNULL</t>
  </si>
  <si>
    <t>item2</t>
  </si>
  <si>
    <t>VALUE</t>
  </si>
  <si>
    <t>item3</t>
  </si>
  <si>
    <t>DOMAINVALUES</t>
  </si>
  <si>
    <t>item4</t>
  </si>
  <si>
    <t>item5</t>
  </si>
  <si>
    <t>item6</t>
  </si>
  <si>
    <t>item7</t>
  </si>
  <si>
    <t>item8</t>
  </si>
  <si>
    <t>item9</t>
  </si>
  <si>
    <t>item10</t>
  </si>
  <si>
    <t>item11</t>
  </si>
  <si>
    <t>item12</t>
  </si>
  <si>
    <t>item13</t>
  </si>
  <si>
    <t>item14</t>
  </si>
  <si>
    <t>item15</t>
  </si>
  <si>
    <t>item16</t>
  </si>
  <si>
    <t>item17</t>
  </si>
  <si>
    <t>item18</t>
  </si>
  <si>
    <t>item19</t>
  </si>
  <si>
    <t>item21</t>
  </si>
  <si>
    <t>item22</t>
  </si>
  <si>
    <t>item23</t>
  </si>
  <si>
    <t>item24</t>
  </si>
  <si>
    <t>item25</t>
  </si>
  <si>
    <t>item26</t>
  </si>
  <si>
    <t>item27</t>
  </si>
  <si>
    <t>A</t>
  </si>
  <si>
    <t>B</t>
  </si>
  <si>
    <t>C</t>
  </si>
  <si>
    <t>D</t>
  </si>
  <si>
    <t>E</t>
  </si>
  <si>
    <t>F</t>
  </si>
  <si>
    <t>G</t>
  </si>
  <si>
    <t>H</t>
  </si>
  <si>
    <t>I</t>
  </si>
  <si>
    <t>J</t>
  </si>
  <si>
    <t>UserFunction</t>
  </si>
  <si>
    <t>UserVariable</t>
  </si>
  <si>
    <t>Result</t>
  </si>
  <si>
    <t>$C$18</t>
  </si>
  <si>
    <t>Not applicable</t>
  </si>
  <si>
    <t>$C$31</t>
  </si>
  <si>
    <t>MUST</t>
  </si>
  <si>
    <t>Please fill the fields
the fields cannot be empty</t>
  </si>
  <si>
    <t>MustBeProvided And ValueIsYes or NotMustBeProvide AND (Not ValueIsNo)</t>
  </si>
  <si>
    <t>QualityOK(item2) |= MainRule</t>
  </si>
  <si>
    <t>QualityOK(item1) |=  MainRule</t>
  </si>
  <si>
    <t>QualityOK(item3) |=MainRule</t>
  </si>
  <si>
    <t>QualityOK(item4) |= MainRule</t>
  </si>
  <si>
    <t>QualityOK(item5) |= MainRule</t>
  </si>
  <si>
    <t>QualityOK(item6) |= MainRule</t>
  </si>
  <si>
    <t>QualityOK(item7) |= MainRule</t>
  </si>
  <si>
    <t>QualityOK(item8) |= MainRule</t>
  </si>
  <si>
    <t>QualityOK(item9) |= MainRule</t>
  </si>
  <si>
    <t>QualityOK(item10) |= MainRule</t>
  </si>
  <si>
    <t>QualityOK(item11) |= MainRule</t>
  </si>
  <si>
    <t>QualityOK(item12) |= MainRule</t>
  </si>
  <si>
    <t>QualityOK(item13) |= MainRule</t>
  </si>
  <si>
    <t>QualityOK(item14) |= MainRule</t>
  </si>
  <si>
    <t>QualityOK(item15) |= MainRule</t>
  </si>
  <si>
    <t>QualityOK(item16) |= MainRule</t>
  </si>
  <si>
    <t>QualityOK(item17) |= MainRule</t>
  </si>
  <si>
    <t>QualityOK(item18) |= MainRule</t>
  </si>
  <si>
    <t>QualityOK(item19) |= MainRule</t>
  </si>
  <si>
    <t>QualityOK(item21) |= MainRule</t>
  </si>
  <si>
    <t>QualityOK(item22) |= MainRule</t>
  </si>
  <si>
    <t>QualityOK(item23) |= MainRule</t>
  </si>
  <si>
    <t>QualityOK(item24) |= MainRule</t>
  </si>
  <si>
    <t>QualityOK(item25) |= MainRule</t>
  </si>
  <si>
    <t>QualityOK(item26) |= MainRule</t>
  </si>
  <si>
    <t>QualityOK(item27) |= MainRule</t>
  </si>
  <si>
    <t>Please answer the following questions according to
 the information reported in the experiment.</t>
  </si>
  <si>
    <t>Paper #</t>
  </si>
  <si>
    <t>Please provide the PMID</t>
  </si>
  <si>
    <t>Item groups</t>
  </si>
  <si>
    <t>Not (MustBeProvided and ValueIsInformationNotAvailable)</t>
  </si>
  <si>
    <t>NOTAPPLICABLE</t>
  </si>
  <si>
    <t>Must</t>
  </si>
  <si>
    <t>Not demanded</t>
  </si>
  <si>
    <t>Weight (%)</t>
  </si>
  <si>
    <t>ScoreOfRank</t>
  </si>
  <si>
    <t>Rank of Importance</t>
  </si>
  <si>
    <t>Score of Mandatory</t>
  </si>
  <si>
    <t>Domain Mandatory Requirement</t>
  </si>
  <si>
    <t>Score of Rank</t>
  </si>
  <si>
    <t>Not Demanded</t>
  </si>
  <si>
    <t>ScoreOfItem</t>
  </si>
  <si>
    <t>ScoreTotal</t>
  </si>
  <si>
    <t>OtherInterVariable</t>
  </si>
  <si>
    <t>ItemID</t>
  </si>
  <si>
    <t>ItemDescription</t>
  </si>
  <si>
    <t>DomainMandatory</t>
  </si>
  <si>
    <t>RankOfImportance</t>
  </si>
  <si>
    <t>StartRow</t>
  </si>
  <si>
    <t>EndRow</t>
  </si>
  <si>
    <t>QtyFullScore</t>
  </si>
  <si>
    <t>QtyWeight</t>
  </si>
  <si>
    <t>QtyFinalScore</t>
  </si>
  <si>
    <t>item</t>
  </si>
  <si>
    <t>Prefix</t>
  </si>
  <si>
    <t>Color</t>
  </si>
  <si>
    <t>QtyScoreBand</t>
  </si>
  <si>
    <t>MinScore</t>
  </si>
  <si>
    <t>MaxScore</t>
  </si>
  <si>
    <t>Red</t>
  </si>
  <si>
    <t>Yellow</t>
  </si>
  <si>
    <t>Green</t>
  </si>
  <si>
    <t>Please provide author name</t>
  </si>
  <si>
    <t>Please provide year</t>
  </si>
  <si>
    <t>$C$20</t>
  </si>
  <si>
    <t>$C$21</t>
  </si>
  <si>
    <t>$C$25</t>
  </si>
  <si>
    <t>$C$26</t>
  </si>
  <si>
    <t>$C$32</t>
  </si>
  <si>
    <t>$C$33</t>
  </si>
  <si>
    <t>listOfYear</t>
  </si>
  <si>
    <t>PMID</t>
  </si>
  <si>
    <t>REVIEWNAME</t>
  </si>
  <si>
    <t>REVIEWVALUE</t>
  </si>
  <si>
    <t>QualityOK</t>
  </si>
  <si>
    <t>Checklist for Reporting Systematic Reviews and Meta-Analyses [PRISMA]</t>
  </si>
  <si>
    <t>Title</t>
  </si>
  <si>
    <t>Identify the report as a systematic review, meta-analysis, or both.</t>
  </si>
  <si>
    <t>Provide a structured summary including, as applicable: background; objectives; data sources; study eligibility criteria, participants, and interventions; study appraisal and synthesis methods; results; limitations; conclusions and implications of key findings; systematic review registration number.</t>
  </si>
  <si>
    <t>Describe the rationale for the review in the context of what is already known.</t>
  </si>
  <si>
    <t>Provide an explicit statement of questions being addressed with reference to participants, interventions, comparisons, outcomes, and study design (PICOS).</t>
  </si>
  <si>
    <t>Indicate if a review protocol exists, if and where it can be accessed (e.g., Web address), and, if available, provide registration information including registration number.</t>
  </si>
  <si>
    <t>Specify study characteristics (e.g., PICOS, length of follow-up) and report characteristics (e.g., years considered, language, publication status) used as criteria for eligibility, giving rationale.</t>
  </si>
  <si>
    <t>Describe all information sources (e.g., databases with dates of coverage, contact with study authors to identify additional studies) in the search and date last searched.</t>
  </si>
  <si>
    <t>Present full electronic search strategy for at least one database, including any limits used, such that it could be repeated.</t>
  </si>
  <si>
    <t>State the process for selecting studies (i.e., screening, eligibility, included in systematic review, and, if applicable, included in the meta-analysis).</t>
  </si>
  <si>
    <t>Describe method of data extraction from reports (e.g., piloted forms, independently, in duplicate) and any processes for obtaining and confirming data from investigators.</t>
  </si>
  <si>
    <t>List and define all variables for which data were sought (e.g., PICOS, funding sources) and any assumptions and simplifications made.</t>
  </si>
  <si>
    <t>Describe methods used for assessing risk of bias of individual studies (including specification of whether this was done at the study or outcome level), and how this information is to be used in any data synthesis.</t>
  </si>
  <si>
    <t>State the principal summary measures (e.g., risk ratio, difference in means).</t>
  </si>
  <si>
    <t>Describe the methods of handling data and combining results of studies, if done, including measures of consistency (e.g., I2) for each meta-analysis.</t>
  </si>
  <si>
    <t>Specify any assessment of risk of bias that may affect the cumulative evidence (e.g., publication bias, selective reporting within studies).</t>
  </si>
  <si>
    <t>Describe methods of additional analyses (e.g., sensitivity or subgroup analyses, meta-regression), if done, indicating which were pre-specified.</t>
  </si>
  <si>
    <t>Give numbers of studies screened, assessed for eligibility, and included in the review, with reasons for exclusions at each stage, ideally with a flow diagram.</t>
  </si>
  <si>
    <t>For each study, present characteristics for which data were extracted (e.g., study size, PICOS, follow-up period) and provide the citations.</t>
  </si>
  <si>
    <t>For all outcomes considered (benefits or harms), present, for each study: (a) simple summary data for each intervention group and (b) effect estimates and  confidence intervals, ideally with a forest plot.</t>
  </si>
  <si>
    <t>Present results of each meta-analysis done, including confidence intervals and measures of consistency.</t>
  </si>
  <si>
    <t>Summarize the main findings including the strength of evidence for each main outcome; consider their relevance to key groups (e.g., health care providers, users, and policy makers).</t>
  </si>
  <si>
    <t>Discuss limitations at study and outcome level (e.g., risk of bias), and at review level (e.g., incomplete retrieval of identified research, reporting bias).</t>
  </si>
  <si>
    <t>Provide a general interpretation of the results in the context of other evidence, and implications for future research.</t>
  </si>
  <si>
    <t>Describe sources of funding for the systematic review and other support (e.g., supply of data); role of funders for the systematic review.</t>
  </si>
  <si>
    <t>Present data on risk of bias of each study and, if available, any outcome-level assessment (see Item 13).</t>
  </si>
  <si>
    <t>Present results of any assessment of risk of bias across studies (see Item 16).</t>
  </si>
  <si>
    <t>Give results of additional analyses, if done (e.g., sensitivity or subgroup analyses, meta-regression [see Item 17]).</t>
  </si>
  <si>
    <t>Structured summary</t>
  </si>
  <si>
    <t>Funding</t>
  </si>
  <si>
    <t>Rationale</t>
  </si>
  <si>
    <t>Objectives</t>
  </si>
  <si>
    <t>Protocol and registration</t>
  </si>
  <si>
    <t>Elibibility criteria</t>
  </si>
  <si>
    <t>Information sources</t>
  </si>
  <si>
    <t>Search</t>
  </si>
  <si>
    <t>Study selection</t>
  </si>
  <si>
    <t>Data collection process</t>
  </si>
  <si>
    <t>Data items</t>
  </si>
  <si>
    <t>Risk of bias in individual studies</t>
  </si>
  <si>
    <t>Summary measures</t>
  </si>
  <si>
    <t>Synthesis of results</t>
  </si>
  <si>
    <t>Risk of bias across studies</t>
  </si>
  <si>
    <t>Additional analysis</t>
  </si>
  <si>
    <t>Study characteristics</t>
  </si>
  <si>
    <t>Risk of bias within studies</t>
  </si>
  <si>
    <t>Results of individual studies</t>
  </si>
  <si>
    <t>Aditional analysis</t>
  </si>
  <si>
    <t>Summary of evidence</t>
  </si>
  <si>
    <t>Limitations</t>
  </si>
  <si>
    <t>Conclusions</t>
  </si>
  <si>
    <t>Methods</t>
  </si>
  <si>
    <t>General Information</t>
  </si>
  <si>
    <t>Quality of Methods</t>
  </si>
  <si>
    <t>Quality of General Information</t>
  </si>
  <si>
    <t>Quality of the Article</t>
  </si>
  <si>
    <t>K</t>
  </si>
  <si>
    <t>L</t>
  </si>
  <si>
    <t>M</t>
  </si>
  <si>
    <t>N</t>
  </si>
  <si>
    <t>O</t>
  </si>
  <si>
    <t>P</t>
  </si>
  <si>
    <t>Q</t>
  </si>
  <si>
    <t>R</t>
  </si>
  <si>
    <t>S</t>
  </si>
  <si>
    <t>T</t>
  </si>
  <si>
    <t>U</t>
  </si>
  <si>
    <t>V</t>
  </si>
  <si>
    <t>W</t>
  </si>
  <si>
    <t>X</t>
  </si>
  <si>
    <t>Y</t>
  </si>
  <si>
    <t>Z</t>
  </si>
  <si>
    <t>AA</t>
  </si>
  <si>
    <t>ReportingInfo</t>
  </si>
  <si>
    <t>QualityOK(item20) |= MainRule</t>
  </si>
  <si>
    <t>QualityOK(A)|=QualityOK(item1)</t>
  </si>
  <si>
    <t>QualityOK(B)|=QualityOK(item2)</t>
  </si>
  <si>
    <t>QualityOK(C)|=QualityOK(item3)</t>
  </si>
  <si>
    <t>QualityOK(D)|=QualityOK(item4)</t>
  </si>
  <si>
    <t>QualityOK(E)|=QualityOK(item5)</t>
  </si>
  <si>
    <t>QualityOK(F)|=QualityOK(item6)</t>
  </si>
  <si>
    <t>QualityOK(G)|=QualityOK(item7)</t>
  </si>
  <si>
    <t>QualityOK(H)|=QualityOK(item8)</t>
  </si>
  <si>
    <t>QualityOK(I)|=QualityOK(item9)</t>
  </si>
  <si>
    <t>QualityOK(J)|=QualityOK(item10)</t>
  </si>
  <si>
    <t>QualityOK(K)|=QualityOK(item11)</t>
  </si>
  <si>
    <t>QualityOK(L)|=QualityOK(item12)</t>
  </si>
  <si>
    <t>QualityOK(M)|=QualityOK(item13)</t>
  </si>
  <si>
    <t>QualityOK(N)|=QualityOK(item14)</t>
  </si>
  <si>
    <t>QualityOK(O)|=QualityOK(item15)</t>
  </si>
  <si>
    <t>QualityOK(P)|=QualityOK(item16)</t>
  </si>
  <si>
    <t>QualityOK(Q)|=QualityOK(item17)</t>
  </si>
  <si>
    <t>QualityOK(R)|=QualityOK(item18)</t>
  </si>
  <si>
    <t>QualityOK(S)|=QualityOK(item19)</t>
  </si>
  <si>
    <t>QualityOK(T)|=QualityOK(item20)</t>
  </si>
  <si>
    <t>QualityOK(U)|=QualityOK(item21)</t>
  </si>
  <si>
    <t>QualityOK(V)|=QualityOK(item22)</t>
  </si>
  <si>
    <t>QualityOK(W)|=QualityOK(item23)</t>
  </si>
  <si>
    <t>QualityOK(X)|=QualityOK(item24)</t>
  </si>
  <si>
    <t>QualityOK(Y)|=QualityOK(item25)</t>
  </si>
  <si>
    <t>QualityOK(Z)|=QualityOK(item26)</t>
  </si>
  <si>
    <t>GenInfo</t>
  </si>
  <si>
    <t>item20</t>
  </si>
  <si>
    <t>$C$19</t>
  </si>
  <si>
    <t>$C$22</t>
  </si>
  <si>
    <t>$C$23</t>
  </si>
  <si>
    <t>$C$24</t>
  </si>
  <si>
    <t>$C$27</t>
  </si>
  <si>
    <t>$C$28</t>
  </si>
  <si>
    <t>$C$29</t>
  </si>
  <si>
    <t>$C$30</t>
  </si>
  <si>
    <t>$C$34</t>
  </si>
  <si>
    <t>$C$35</t>
  </si>
  <si>
    <t>$C$36</t>
  </si>
  <si>
    <t>$C$37</t>
  </si>
  <si>
    <t>$C$38</t>
  </si>
  <si>
    <t>$C$39</t>
  </si>
  <si>
    <t>$C$40</t>
  </si>
  <si>
    <t>$C$41</t>
  </si>
  <si>
    <t>$C$42</t>
  </si>
  <si>
    <t>MethInfo</t>
  </si>
  <si>
    <t>QualityOK(AA)|=QualityOK(item27)</t>
  </si>
  <si>
    <t>QualityOK(MethInfo) |= QualityOK(F) AND QualityOK(G) AND QualityOK(H) AND QualityOK(I) AND QualityOK(J) AND QualityOK(K) AND QualityOK(L) AND QualityOK(M) AND QualityOK(N) AND QualityOK(O) AND QualityOK(P) AND QualityOK(Q)</t>
  </si>
  <si>
    <t>RdisInfo</t>
  </si>
  <si>
    <t>FLOREZ</t>
  </si>
  <si>
    <t>Paper Information</t>
  </si>
  <si>
    <t>Paper Reviews</t>
  </si>
  <si>
    <t>AUTHOR</t>
  </si>
  <si>
    <t>PUBLICATIONYEAR</t>
  </si>
  <si>
    <t>Quality of Results</t>
  </si>
  <si>
    <t>Quality of Discussion</t>
  </si>
  <si>
    <r>
      <t xml:space="preserve">QualityOK(ResInfo) |= </t>
    </r>
    <r>
      <rPr>
        <sz val="11"/>
        <rFont val="Calibri"/>
        <family val="2"/>
        <scheme val="minor"/>
      </rPr>
      <t>QualityOK(R) AND QualityOK(S) AND QualityOK(T) AND QualityOK(U) AND QualityOK(V) AND QualityOK(W) AND QualityOK(X)</t>
    </r>
  </si>
  <si>
    <r>
      <t xml:space="preserve">QualityOK(DisInfo) |= </t>
    </r>
    <r>
      <rPr>
        <sz val="11"/>
        <rFont val="Calibri"/>
        <family val="2"/>
        <scheme val="minor"/>
      </rPr>
      <t>QualityOK(Y) AND QualityOK(Z) AND QualityOK(AA)</t>
    </r>
  </si>
  <si>
    <t>ResInfo</t>
  </si>
  <si>
    <t>DisInfo</t>
  </si>
  <si>
    <t>QualityOK(ReportingInfo) |= QualityOK(GenInfo) AND QualityOK(MethInfo) AND QualityOK(ResInfo) AND QualityOK(DisInfo)</t>
  </si>
  <si>
    <t>$C$16</t>
  </si>
  <si>
    <t>$C$17</t>
  </si>
  <si>
    <t>BRAMHALL</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</si>
  <si>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</si>
  <si>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</si>
  <si>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</si>
  <si>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</si>
  <si>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</si>
  <si>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</si>
  <si>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</si>
  <si>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</si>
  <si>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</si>
  <si>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</si>
  <si>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</si>
  <si>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</si>
  <si>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</si>
  <si>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</si>
  <si>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</si>
  <si>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</si>
  <si>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</si>
  <si>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</si>
  <si>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</si>
  <si>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</si>
  <si>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</si>
  <si>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</si>
  <si>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</si>
  <si>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</si>
  <si>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</si>
  <si>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</si>
  <si>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</si>
  <si>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t>
  </si>
  <si>
    <t>$G$5</t>
  </si>
  <si>
    <t>$G$6</t>
  </si>
  <si>
    <t>$G$7</t>
  </si>
  <si>
    <t>$G$8</t>
  </si>
  <si>
    <t>QualityOK(GenInfo) |= QualityOK(A) AND QualityOK(B) AND QualityOK(C) AND QualityOK(D) AND QualityOK(E )</t>
  </si>
  <si>
    <t xml:space="preserve">Results </t>
  </si>
  <si>
    <t>Discussion</t>
  </si>
  <si>
    <t>Results</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</si>
</sst>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Calibri"/>
      <family val="2"/>
      <scheme val="minor"/>
    </font>
    <font>
      <b/>
      <sz val="11"/>
      <color theme="1"/>
      <name val="Calibri"/>
      <family val="2"/>
      <scheme val="minor"/>
    </font>
    <font>
      <sz val="10"/>
      <color theme="1"/>
      <name val="Calibri"/>
      <family val="2"/>
      <scheme val="minor"/>
    </font>
    <font>
      <b/>
      <sz val="10"/>
      <color rgb="FF0070C0"/>
      <name val="Calibri"/>
      <family val="2"/>
      <scheme val="minor"/>
    </font>
    <font>
      <b/>
      <sz val="10"/>
      <color rgb="FFFF0000"/>
      <name val="Calibri"/>
      <family val="2"/>
      <scheme val="minor"/>
    </font>
    <font>
      <sz val="9"/>
      <name val="Calibri"/>
      <family val="3"/>
      <charset val="134"/>
      <scheme val="minor"/>
    </font>
    <font>
      <b/>
      <i/>
      <sz val="10"/>
      <color theme="1"/>
      <name val="Calibri"/>
      <family val="2"/>
      <scheme val="minor"/>
    </font>
    <font>
      <sz val="11"/>
      <color theme="1"/>
      <name val="Calibri"/>
      <family val="2"/>
      <scheme val="minor"/>
    </font>
    <font>
      <sz val="12"/>
      <color theme="1"/>
      <name val="Calibri"/>
      <family val="2"/>
    </font>
    <font>
      <b/>
      <sz val="12"/>
      <color theme="1"/>
      <name val="Calibri"/>
      <family val="2"/>
    </font>
    <font>
      <b/>
      <sz val="18"/>
      <color theme="7" tint="0.39997558519241921"/>
      <name val="Calibri"/>
      <family val="2"/>
      <scheme val="minor"/>
    </font>
    <font>
      <b/>
      <i/>
      <sz val="10"/>
      <name val="Calibri"/>
      <family val="2"/>
      <scheme val="minor"/>
    </font>
    <font>
      <b/>
      <sz val="9"/>
      <color theme="1"/>
      <name val="Calibri"/>
      <family val="2"/>
      <scheme val="minor"/>
    </font>
    <font>
      <sz val="9"/>
      <color theme="1"/>
      <name val="Calibri"/>
      <family val="2"/>
      <scheme val="minor"/>
    </font>
    <font>
      <sz val="9"/>
      <color rgb="FF000000"/>
      <name val="Calibri"/>
      <family val="2"/>
      <scheme val="minor"/>
    </font>
    <font>
      <b/>
      <sz val="11"/>
      <name val="Calibri"/>
      <family val="2"/>
      <scheme val="minor"/>
    </font>
    <font>
      <sz val="11"/>
      <name val="Calibri"/>
      <family val="2"/>
      <scheme val="minor"/>
    </font>
    <font>
      <b/>
      <sz val="11"/>
      <color theme="0"/>
      <name val="Calibri"/>
      <family val="2"/>
      <scheme val="minor"/>
    </font>
    <font>
      <b/>
      <sz val="10"/>
      <color theme="0"/>
      <name val="Calibri"/>
      <family val="2"/>
      <scheme val="minor"/>
    </font>
    <font>
      <b/>
      <sz val="10"/>
      <color theme="1"/>
      <name val="Calibri"/>
      <family val="2"/>
      <scheme val="minor"/>
    </font>
    <font>
      <b/>
      <sz val="9"/>
      <color rgb="FF000000"/>
      <name val="Calibri"/>
      <family val="2"/>
      <scheme val="minor"/>
    </font>
    <font>
      <b/>
      <sz val="15"/>
      <color theme="0"/>
      <name val="Calibri"/>
      <family val="2"/>
      <scheme val="minor"/>
    </font>
    <font>
      <sz val="11"/>
      <color rgb="FFFF0000"/>
      <name val="Calibri"/>
      <family val="2"/>
      <scheme val="minor"/>
    </font>
    <font>
      <b/>
      <sz val="10"/>
      <name val="Calibri"/>
      <family val="2"/>
      <scheme val="minor"/>
    </font>
    <font>
      <b/>
      <sz val="9"/>
      <name val="Calibri"/>
      <family val="2"/>
      <scheme val="minor"/>
    </font>
    <font>
      <b/>
      <sz val="10"/>
      <color rgb="FF000000"/>
      <name val="Calibri"/>
      <family val="2"/>
      <scheme val="minor"/>
    </font>
  </fonts>
  <fills count="22">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FF0000"/>
        <bgColor indexed="64"/>
      </patternFill>
    </fill>
    <fill>
      <patternFill patternType="solid">
        <fgColor indexed="15"/>
        <bgColor indexed="64"/>
      </patternFill>
    </fill>
    <fill>
      <patternFill patternType="solid">
        <fgColor rgb="FFFF6699"/>
        <bgColor indexed="64"/>
      </patternFill>
    </fill>
    <fill>
      <patternFill patternType="solid">
        <fgColor theme="9" tint="0.79998168889431442"/>
        <bgColor indexed="64"/>
      </patternFill>
    </fill>
    <fill>
      <patternFill patternType="solid">
        <fgColor indexed="29"/>
        <bgColor indexed="64"/>
      </patternFill>
    </fill>
    <fill>
      <patternFill patternType="solid">
        <fgColor indexed="11"/>
        <bgColor indexed="64"/>
      </patternFill>
    </fill>
    <fill>
      <patternFill patternType="solid">
        <fgColor indexed="26"/>
        <bgColor indexed="64"/>
      </patternFill>
    </fill>
    <fill>
      <patternFill patternType="solid">
        <fgColor theme="5" tint="0.79998168889431442"/>
        <bgColor indexed="64"/>
      </patternFill>
    </fill>
    <fill>
      <patternFill patternType="solid">
        <fgColor indexed="22"/>
        <bgColor indexed="64"/>
      </patternFill>
    </fill>
  </fills>
  <borders count="38">
    <border>
      <left/>
      <right/>
      <top/>
      <bottom/>
      <diagonal/>
    </border>
    <border>
      <left style="medium">
        <color indexed="64"/>
      </left>
      <right/>
      <top/>
      <bottom style="medium">
        <color indexed="64"/>
      </bottom>
      <diagonal/>
    </border>
    <border>
      <left/>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ck">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7" fillId="2" borderId="3" applyNumberFormat="0" applyFont="0" applyAlignment="0" applyProtection="0"/>
    <xf numFmtId="0" fontId="7" fillId="0" borderId="0"/>
  </cellStyleXfs>
  <cellXfs count="230">
    <xf numFmtId="0" fontId="0" fillId="0" borderId="0" xfId="0"/>
    <xf numFmtId="0" fontId="0" fillId="0" borderId="0" xfId="0" applyFont="1" applyAlignment="1">
      <alignment wrapText="1"/>
    </xf>
    <xf numFmtId="0" fontId="0" fillId="3" borderId="0" xfId="0" applyFill="1"/>
    <xf numFmtId="0" fontId="0" fillId="3" borderId="0" xfId="0" applyFill="1" applyAlignment="1">
      <alignment wrapText="1"/>
    </xf>
    <xf numFmtId="0" fontId="0" fillId="7" borderId="0" xfId="0" applyFill="1"/>
    <xf numFmtId="0" fontId="1" fillId="4" borderId="0" xfId="0" applyFont="1" applyFill="1" applyAlignment="1" applyProtection="1">
      <alignment readingOrder="1"/>
      <protection locked="0"/>
    </xf>
    <xf numFmtId="0" fontId="1" fillId="4" borderId="0" xfId="0" applyFont="1" applyFill="1" applyAlignment="1" applyProtection="1">
      <alignment horizontal="center" readingOrder="1"/>
      <protection locked="0"/>
    </xf>
    <xf numFmtId="0" fontId="0" fillId="4" borderId="0" xfId="0" applyFill="1" applyAlignment="1" applyProtection="1">
      <alignment readingOrder="1"/>
      <protection locked="0"/>
    </xf>
    <xf numFmtId="0" fontId="0" fillId="0" borderId="0" xfId="0" applyAlignment="1" applyProtection="1">
      <alignment wrapText="1" readingOrder="1"/>
      <protection locked="0"/>
    </xf>
    <xf numFmtId="0" fontId="2" fillId="0" borderId="0" xfId="0" applyFont="1" applyAlignment="1" applyProtection="1">
      <alignment readingOrder="1"/>
      <protection locked="0"/>
    </xf>
    <xf numFmtId="0" fontId="0" fillId="4" borderId="0" xfId="0" applyFill="1" applyAlignment="1" applyProtection="1">
      <alignment wrapText="1" readingOrder="1"/>
      <protection locked="0"/>
    </xf>
    <xf numFmtId="0" fontId="2" fillId="0" borderId="0" xfId="0" applyFont="1" applyAlignment="1" applyProtection="1">
      <alignment wrapText="1" readingOrder="1"/>
      <protection locked="0"/>
    </xf>
    <xf numFmtId="0" fontId="1" fillId="0" borderId="0" xfId="0" applyFont="1" applyAlignment="1" applyProtection="1">
      <alignment horizontal="left" wrapText="1"/>
    </xf>
    <xf numFmtId="0" fontId="0" fillId="0" borderId="0" xfId="0" applyAlignment="1" applyProtection="1">
      <alignment wrapText="1"/>
    </xf>
    <xf numFmtId="0" fontId="0" fillId="0" borderId="0" xfId="0" applyProtection="1"/>
    <xf numFmtId="0" fontId="3" fillId="0" borderId="0" xfId="0" applyFont="1" applyAlignment="1" applyProtection="1">
      <alignment vertical="top" wrapText="1"/>
    </xf>
    <xf numFmtId="0" fontId="0" fillId="0" borderId="0" xfId="0" applyAlignment="1" applyProtection="1">
      <alignment vertical="top" wrapText="1"/>
    </xf>
    <xf numFmtId="0" fontId="0" fillId="0" borderId="0" xfId="0" applyAlignment="1" applyProtection="1">
      <alignment vertical="top"/>
    </xf>
    <xf numFmtId="0" fontId="4" fillId="0" borderId="0" xfId="0" applyFont="1" applyAlignment="1" applyProtection="1">
      <alignment vertical="top" wrapText="1"/>
    </xf>
    <xf numFmtId="0" fontId="2" fillId="0" borderId="0" xfId="0" applyFont="1" applyAlignment="1" applyProtection="1">
      <alignment vertical="top" wrapText="1"/>
    </xf>
    <xf numFmtId="0" fontId="1" fillId="8" borderId="0" xfId="0" applyFont="1" applyFill="1" applyProtection="1"/>
    <xf numFmtId="0" fontId="1" fillId="8" borderId="0" xfId="0" applyFont="1" applyFill="1" applyAlignment="1" applyProtection="1">
      <alignment horizontal="left" wrapText="1"/>
    </xf>
    <xf numFmtId="0" fontId="0" fillId="8" borderId="0" xfId="0" applyFill="1" applyAlignment="1" applyProtection="1">
      <alignment wrapText="1"/>
    </xf>
    <xf numFmtId="0" fontId="0" fillId="8" borderId="0" xfId="0" applyFill="1" applyProtection="1"/>
    <xf numFmtId="0" fontId="16" fillId="0" borderId="0" xfId="0" applyFont="1" applyFill="1" applyAlignment="1" applyProtection="1">
      <alignment readingOrder="1"/>
      <protection locked="0"/>
    </xf>
    <xf numFmtId="0" fontId="12" fillId="0" borderId="11" xfId="0" applyFont="1" applyBorder="1" applyAlignment="1" applyProtection="1">
      <alignment wrapText="1" readingOrder="1"/>
    </xf>
    <xf numFmtId="0" fontId="12" fillId="0" borderId="12" xfId="0" applyFont="1" applyBorder="1" applyAlignment="1" applyProtection="1">
      <alignment wrapText="1" readingOrder="1"/>
    </xf>
    <xf numFmtId="0" fontId="12" fillId="0" borderId="13" xfId="0" applyFont="1" applyBorder="1" applyAlignment="1" applyProtection="1">
      <alignment wrapText="1" readingOrder="1"/>
    </xf>
    <xf numFmtId="0" fontId="6" fillId="4" borderId="0" xfId="0" applyFont="1" applyFill="1" applyBorder="1" applyAlignment="1" applyProtection="1">
      <alignment wrapText="1" readingOrder="1"/>
    </xf>
    <xf numFmtId="0" fontId="12" fillId="0" borderId="11" xfId="0" applyFont="1" applyFill="1" applyBorder="1" applyAlignment="1" applyProtection="1">
      <alignment wrapText="1" readingOrder="1"/>
    </xf>
    <xf numFmtId="0" fontId="10" fillId="9" borderId="8" xfId="0" applyFont="1" applyFill="1" applyBorder="1" applyAlignment="1" applyProtection="1">
      <alignment horizontal="center" vertical="center" readingOrder="1"/>
    </xf>
    <xf numFmtId="0" fontId="17" fillId="12" borderId="21" xfId="0" applyFont="1" applyFill="1" applyBorder="1" applyAlignment="1" applyProtection="1">
      <alignment horizontal="center" vertical="center" readingOrder="1"/>
    </xf>
    <xf numFmtId="0" fontId="10" fillId="0" borderId="0" xfId="0" applyFont="1" applyFill="1" applyBorder="1" applyAlignment="1" applyProtection="1">
      <alignment horizontal="center" vertical="center" readingOrder="1"/>
    </xf>
    <xf numFmtId="0" fontId="1" fillId="4" borderId="0" xfId="0" applyFont="1" applyFill="1" applyBorder="1" applyAlignment="1" applyProtection="1">
      <alignment horizontal="center" readingOrder="1"/>
    </xf>
    <xf numFmtId="0" fontId="12" fillId="0" borderId="12" xfId="0" applyFont="1" applyFill="1" applyBorder="1" applyAlignment="1" applyProtection="1">
      <alignment horizontal="center" vertical="center" wrapText="1" readingOrder="1"/>
    </xf>
    <xf numFmtId="0" fontId="20" fillId="0" borderId="11" xfId="0" applyFont="1" applyFill="1" applyBorder="1" applyAlignment="1" applyProtection="1">
      <alignment horizontal="center" vertical="center" wrapText="1" readingOrder="1"/>
    </xf>
    <xf numFmtId="0" fontId="20" fillId="0" borderId="12" xfId="0" applyFont="1" applyFill="1" applyBorder="1" applyAlignment="1" applyProtection="1">
      <alignment horizontal="center" vertical="center" wrapText="1" readingOrder="1"/>
    </xf>
    <xf numFmtId="0" fontId="12" fillId="0" borderId="11" xfId="0" applyFont="1" applyFill="1" applyBorder="1" applyAlignment="1" applyProtection="1">
      <alignment horizontal="center" vertical="center" wrapText="1" readingOrder="1"/>
    </xf>
    <xf numFmtId="0" fontId="1" fillId="4" borderId="0" xfId="0" applyFont="1" applyFill="1" applyAlignment="1" applyProtection="1">
      <alignment horizontal="center" readingOrder="1"/>
    </xf>
    <xf numFmtId="0" fontId="14" fillId="0" borderId="11" xfId="0" applyFont="1" applyFill="1" applyBorder="1" applyAlignment="1" applyProtection="1">
      <alignment horizontal="center" vertical="center" wrapText="1" readingOrder="1"/>
      <protection locked="0"/>
    </xf>
    <xf numFmtId="0" fontId="14" fillId="0" borderId="12" xfId="0" applyFont="1" applyFill="1" applyBorder="1" applyAlignment="1" applyProtection="1">
      <alignment horizontal="center" vertical="center" wrapText="1" readingOrder="1"/>
      <protection locked="0"/>
    </xf>
    <xf numFmtId="0" fontId="7" fillId="0" borderId="0" xfId="2"/>
    <xf numFmtId="0" fontId="13" fillId="0" borderId="11" xfId="0" applyFont="1" applyFill="1" applyBorder="1" applyAlignment="1" applyProtection="1">
      <alignment horizontal="center" vertical="center" wrapText="1" readingOrder="1"/>
      <protection locked="0"/>
    </xf>
    <xf numFmtId="0" fontId="14" fillId="0" borderId="13" xfId="0" applyFont="1" applyFill="1" applyBorder="1" applyAlignment="1" applyProtection="1">
      <alignment horizontal="center" vertical="center" wrapText="1" readingOrder="1"/>
      <protection locked="0"/>
    </xf>
    <xf numFmtId="0" fontId="1" fillId="0" borderId="0" xfId="0" applyFont="1" applyFill="1" applyBorder="1" applyAlignment="1" applyProtection="1">
      <alignment horizontal="center" readingOrder="1"/>
    </xf>
    <xf numFmtId="0" fontId="0" fillId="0" borderId="0" xfId="0" applyAlignment="1" applyProtection="1">
      <alignment horizontal="center" vertical="center" wrapText="1"/>
    </xf>
    <xf numFmtId="0" fontId="0" fillId="5" borderId="4" xfId="0" applyFill="1" applyBorder="1" applyAlignment="1" applyProtection="1">
      <alignment horizontal="center" vertical="center" wrapText="1"/>
    </xf>
    <xf numFmtId="0" fontId="8" fillId="0" borderId="0" xfId="0" applyFont="1" applyAlignment="1" applyProtection="1">
      <alignment horizontal="center" vertical="center" wrapText="1" readingOrder="1"/>
    </xf>
    <xf numFmtId="0" fontId="0" fillId="0" borderId="0" xfId="0" applyAlignment="1" applyProtection="1">
      <alignment horizontal="left" vertical="center" wrapText="1" readingOrder="1"/>
    </xf>
    <xf numFmtId="0" fontId="0" fillId="0" borderId="0" xfId="0" applyAlignment="1" applyProtection="1">
      <alignment readingOrder="1"/>
    </xf>
    <xf numFmtId="0" fontId="0" fillId="0" borderId="0" xfId="0" applyAlignment="1" applyProtection="1">
      <alignment wrapText="1" readingOrder="1"/>
    </xf>
    <xf numFmtId="0" fontId="9" fillId="0" borderId="0" xfId="0" applyFont="1" applyAlignment="1" applyProtection="1">
      <alignment horizontal="center" vertical="center" wrapText="1" readingOrder="1"/>
    </xf>
    <xf numFmtId="0" fontId="0" fillId="0" borderId="0" xfId="0" applyFont="1" applyAlignment="1" applyProtection="1">
      <alignment wrapText="1"/>
    </xf>
    <xf numFmtId="0" fontId="16" fillId="0" borderId="0" xfId="0" applyFont="1" applyAlignment="1" applyProtection="1">
      <alignment wrapText="1"/>
    </xf>
    <xf numFmtId="0" fontId="0" fillId="0" borderId="0" xfId="0" applyFont="1" applyFill="1" applyAlignment="1" applyProtection="1">
      <alignment wrapText="1"/>
    </xf>
    <xf numFmtId="0" fontId="10" fillId="9" borderId="8" xfId="0" applyFont="1" applyFill="1" applyBorder="1" applyAlignment="1" applyProtection="1">
      <alignment horizontal="center" vertical="center" wrapText="1" readingOrder="1"/>
    </xf>
    <xf numFmtId="0" fontId="17" fillId="12" borderId="21" xfId="0" applyFont="1" applyFill="1" applyBorder="1" applyAlignment="1" applyProtection="1">
      <alignment horizontal="center" vertical="center" wrapText="1" readingOrder="1"/>
    </xf>
    <xf numFmtId="0" fontId="1" fillId="0" borderId="0" xfId="0" applyFont="1" applyFill="1" applyBorder="1" applyAlignment="1" applyProtection="1">
      <alignment wrapText="1" readingOrder="1"/>
    </xf>
    <xf numFmtId="0" fontId="12" fillId="14" borderId="11" xfId="0" quotePrefix="1" applyFont="1" applyFill="1" applyBorder="1" applyAlignment="1" applyProtection="1">
      <alignment horizontal="center" vertical="center" readingOrder="1"/>
    </xf>
    <xf numFmtId="0" fontId="12" fillId="0" borderId="0" xfId="0" applyFont="1" applyFill="1" applyBorder="1" applyAlignment="1" applyProtection="1">
      <alignment horizontal="center" vertical="center" wrapText="1" readingOrder="1"/>
    </xf>
    <xf numFmtId="0" fontId="0" fillId="0" borderId="0" xfId="0" applyAlignment="1">
      <alignment horizontal="center"/>
    </xf>
    <xf numFmtId="0" fontId="18" fillId="12" borderId="10" xfId="0" applyFont="1" applyFill="1" applyBorder="1" applyAlignment="1" applyProtection="1">
      <alignment horizontal="center" vertical="center" readingOrder="1"/>
      <protection locked="0"/>
    </xf>
    <xf numFmtId="0" fontId="0" fillId="0" borderId="0" xfId="0" applyAlignment="1">
      <alignment horizontal="center" readingOrder="1"/>
    </xf>
    <xf numFmtId="0" fontId="19" fillId="0" borderId="4" xfId="0" applyFont="1" applyFill="1" applyBorder="1" applyAlignment="1">
      <alignment horizontal="center" vertical="center" wrapText="1"/>
    </xf>
    <xf numFmtId="2" fontId="22" fillId="0" borderId="0" xfId="0" applyNumberFormat="1" applyFont="1" applyAlignment="1">
      <alignment horizontal="center"/>
    </xf>
    <xf numFmtId="1" fontId="22" fillId="0" borderId="0" xfId="0" applyNumberFormat="1" applyFont="1" applyAlignment="1">
      <alignment horizontal="center"/>
    </xf>
    <xf numFmtId="0" fontId="19" fillId="0" borderId="0" xfId="0" applyFont="1" applyFill="1" applyAlignment="1">
      <alignment horizontal="center" vertical="center" wrapText="1"/>
    </xf>
    <xf numFmtId="0" fontId="18" fillId="12" borderId="5" xfId="0" applyFont="1" applyFill="1" applyBorder="1" applyAlignment="1" applyProtection="1">
      <alignment horizontal="center" vertical="center" wrapText="1" readingOrder="1"/>
      <protection locked="0"/>
    </xf>
    <xf numFmtId="0" fontId="0" fillId="0" borderId="0" xfId="0" applyAlignment="1">
      <alignment wrapText="1"/>
    </xf>
    <xf numFmtId="0" fontId="23" fillId="0" borderId="0" xfId="0" applyFont="1" applyFill="1" applyAlignment="1">
      <alignment horizontal="center" vertical="center" wrapText="1"/>
    </xf>
    <xf numFmtId="0" fontId="16" fillId="0" borderId="0" xfId="0" applyFont="1" applyAlignment="1">
      <alignment horizontal="center"/>
    </xf>
    <xf numFmtId="0" fontId="15" fillId="0" borderId="0" xfId="0" applyFont="1" applyAlignment="1"/>
    <xf numFmtId="0" fontId="15" fillId="0" borderId="0" xfId="0" applyFont="1" applyAlignment="1">
      <alignment horizontal="center"/>
    </xf>
    <xf numFmtId="0" fontId="15" fillId="0" borderId="0" xfId="0" applyFont="1" applyAlignment="1">
      <alignment horizontal="left"/>
    </xf>
    <xf numFmtId="0" fontId="16" fillId="0" borderId="0" xfId="0" applyFont="1" applyAlignment="1">
      <alignment horizontal="left"/>
    </xf>
    <xf numFmtId="0" fontId="19" fillId="11" borderId="22" xfId="0" applyFont="1" applyFill="1" applyBorder="1" applyAlignment="1">
      <alignment horizontal="center" vertical="center" readingOrder="1"/>
    </xf>
    <xf numFmtId="0" fontId="19" fillId="9" borderId="22" xfId="0" applyFont="1" applyFill="1" applyBorder="1" applyAlignment="1">
      <alignment horizontal="center" vertical="center" wrapText="1" readingOrder="1"/>
    </xf>
    <xf numFmtId="0" fontId="19" fillId="10" borderId="22" xfId="0" applyFont="1" applyFill="1" applyBorder="1" applyAlignment="1">
      <alignment horizontal="center" vertical="center" wrapText="1"/>
    </xf>
    <xf numFmtId="0" fontId="0" fillId="0" borderId="0" xfId="0" applyBorder="1" applyAlignment="1">
      <alignment horizontal="center" readingOrder="1"/>
    </xf>
    <xf numFmtId="0" fontId="0" fillId="0" borderId="0" xfId="0" applyBorder="1" applyAlignment="1">
      <alignment horizontal="center"/>
    </xf>
    <xf numFmtId="0" fontId="0" fillId="0" borderId="26" xfId="0" applyBorder="1" applyAlignment="1">
      <alignment horizontal="center"/>
    </xf>
    <xf numFmtId="0" fontId="0" fillId="16" borderId="8" xfId="0" applyFill="1" applyBorder="1"/>
    <xf numFmtId="0" fontId="0" fillId="16" borderId="8" xfId="0" applyFill="1" applyBorder="1" applyAlignment="1">
      <alignment horizontal="center"/>
    </xf>
    <xf numFmtId="0" fontId="0" fillId="16" borderId="24" xfId="0" applyFill="1" applyBorder="1" applyAlignment="1">
      <alignment horizontal="center"/>
    </xf>
    <xf numFmtId="0" fontId="0" fillId="16" borderId="0" xfId="0" applyFill="1" applyBorder="1"/>
    <xf numFmtId="0" fontId="0" fillId="16" borderId="26" xfId="0" applyFill="1" applyBorder="1" applyAlignment="1">
      <alignment horizontal="center"/>
    </xf>
    <xf numFmtId="0" fontId="0" fillId="7" borderId="0" xfId="0" applyFill="1" applyBorder="1"/>
    <xf numFmtId="0" fontId="0" fillId="16" borderId="23" xfId="0" applyFill="1" applyBorder="1" applyAlignment="1">
      <alignment horizontal="center" readingOrder="1"/>
    </xf>
    <xf numFmtId="0" fontId="0" fillId="16" borderId="25" xfId="0" applyFill="1" applyBorder="1" applyAlignment="1">
      <alignment horizontal="center" readingOrder="1"/>
    </xf>
    <xf numFmtId="0" fontId="12" fillId="11" borderId="0" xfId="0" applyFont="1" applyFill="1" applyBorder="1" applyAlignment="1" applyProtection="1">
      <alignment horizontal="center" vertical="center" textRotation="90" readingOrder="1"/>
      <protection locked="0"/>
    </xf>
    <xf numFmtId="0" fontId="12" fillId="0" borderId="0" xfId="0" applyFont="1" applyFill="1" applyBorder="1" applyAlignment="1" applyProtection="1">
      <alignment horizontal="center" vertical="center" wrapText="1" readingOrder="1"/>
      <protection locked="0"/>
    </xf>
    <xf numFmtId="0" fontId="14" fillId="0" borderId="23" xfId="0" applyFont="1" applyFill="1" applyBorder="1" applyAlignment="1" applyProtection="1">
      <alignment horizontal="center" vertical="center" readingOrder="1"/>
      <protection locked="0"/>
    </xf>
    <xf numFmtId="0" fontId="15" fillId="0" borderId="0" xfId="0" applyFont="1" applyAlignment="1">
      <alignment horizontal="center"/>
    </xf>
    <xf numFmtId="0" fontId="23" fillId="0" borderId="27" xfId="0" applyFont="1" applyFill="1" applyBorder="1" applyAlignment="1">
      <alignment horizontal="center" vertical="center" wrapText="1"/>
    </xf>
    <xf numFmtId="0" fontId="16" fillId="0" borderId="28" xfId="0" applyFont="1" applyBorder="1" applyAlignment="1">
      <alignment horizontal="center"/>
    </xf>
    <xf numFmtId="0" fontId="23" fillId="0" borderId="29" xfId="0" applyFont="1" applyFill="1" applyBorder="1" applyAlignment="1">
      <alignment horizontal="center" vertical="center" wrapText="1"/>
    </xf>
    <xf numFmtId="0" fontId="16" fillId="0" borderId="4" xfId="0" applyFont="1" applyBorder="1" applyAlignment="1">
      <alignment horizontal="center"/>
    </xf>
    <xf numFmtId="0" fontId="23" fillId="0" borderId="22" xfId="0" applyFont="1" applyFill="1" applyBorder="1" applyAlignment="1">
      <alignment horizontal="center" vertical="center" wrapText="1"/>
    </xf>
    <xf numFmtId="0" fontId="15" fillId="0" borderId="29" xfId="0" applyFont="1" applyBorder="1" applyAlignment="1">
      <alignment horizontal="center"/>
    </xf>
    <xf numFmtId="0" fontId="16" fillId="0" borderId="22" xfId="0" applyFont="1" applyBorder="1" applyAlignment="1">
      <alignment horizontal="center" vertical="center"/>
    </xf>
    <xf numFmtId="0" fontId="0" fillId="0" borderId="4" xfId="0" applyBorder="1" applyAlignment="1">
      <alignment horizontal="center"/>
    </xf>
    <xf numFmtId="0" fontId="16" fillId="0" borderId="29" xfId="0" applyFont="1" applyBorder="1" applyAlignment="1">
      <alignment horizontal="center"/>
    </xf>
    <xf numFmtId="0" fontId="0" fillId="0" borderId="29" xfId="0" applyBorder="1" applyAlignment="1">
      <alignment horizontal="center"/>
    </xf>
    <xf numFmtId="2" fontId="16" fillId="0" borderId="0" xfId="0" applyNumberFormat="1" applyFont="1" applyAlignment="1">
      <alignment horizontal="center"/>
    </xf>
    <xf numFmtId="0" fontId="0" fillId="0" borderId="0" xfId="0" applyAlignment="1" applyProtection="1">
      <alignment horizontal="center"/>
    </xf>
    <xf numFmtId="0" fontId="0" fillId="8" borderId="0" xfId="0" applyFill="1" applyAlignment="1" applyProtection="1">
      <alignment horizontal="center"/>
    </xf>
    <xf numFmtId="0" fontId="0" fillId="0" borderId="0" xfId="0" applyAlignment="1" applyProtection="1">
      <alignment horizontal="center" vertical="top"/>
    </xf>
    <xf numFmtId="0" fontId="12" fillId="0" borderId="20" xfId="0" quotePrefix="1" applyFont="1" applyFill="1" applyBorder="1" applyAlignment="1" applyProtection="1">
      <alignment horizontal="center" vertical="center" readingOrder="1"/>
    </xf>
    <xf numFmtId="0" fontId="12" fillId="0" borderId="20" xfId="0" applyFont="1" applyFill="1" applyBorder="1" applyAlignment="1" applyProtection="1">
      <alignment wrapText="1" readingOrder="1"/>
    </xf>
    <xf numFmtId="0" fontId="0" fillId="0" borderId="0" xfId="0" applyProtection="1">
      <protection locked="0"/>
    </xf>
    <xf numFmtId="0" fontId="13" fillId="14" borderId="11" xfId="0" applyFont="1" applyFill="1" applyBorder="1" applyAlignment="1" applyProtection="1">
      <alignment horizontal="center" vertical="center" wrapText="1" readingOrder="1"/>
      <protection locked="0"/>
    </xf>
    <xf numFmtId="0" fontId="0" fillId="0" borderId="0" xfId="0" applyNumberFormat="1" applyAlignment="1">
      <alignment horizontal="left"/>
    </xf>
    <xf numFmtId="49" fontId="1" fillId="0" borderId="0" xfId="0" applyNumberFormat="1" applyFont="1" applyAlignment="1" applyProtection="1">
      <alignment horizontal="center"/>
    </xf>
    <xf numFmtId="49" fontId="1" fillId="0" borderId="0" xfId="0" applyNumberFormat="1" applyFont="1" applyAlignment="1" applyProtection="1">
      <alignment horizontal="left" wrapText="1"/>
    </xf>
    <xf numFmtId="49" fontId="0" fillId="0" borderId="0" xfId="0" applyNumberFormat="1" applyAlignment="1" applyProtection="1">
      <alignment wrapText="1"/>
    </xf>
    <xf numFmtId="49" fontId="0" fillId="0" borderId="0" xfId="0" applyNumberFormat="1" applyProtection="1"/>
    <xf numFmtId="0" fontId="13" fillId="0" borderId="20" xfId="0" applyFont="1" applyFill="1" applyBorder="1" applyAlignment="1" applyProtection="1">
      <alignment horizontal="center" vertical="center" wrapText="1" readingOrder="1"/>
      <protection locked="0"/>
    </xf>
    <xf numFmtId="0" fontId="12" fillId="0" borderId="0" xfId="0" applyFont="1" applyFill="1" applyBorder="1" applyAlignment="1" applyProtection="1">
      <alignment horizontal="center" vertical="center" wrapText="1" readingOrder="1"/>
    </xf>
    <xf numFmtId="0" fontId="14" fillId="0" borderId="18" xfId="0" applyFont="1" applyFill="1" applyBorder="1" applyAlignment="1" applyProtection="1">
      <alignment vertical="center" wrapText="1" readingOrder="1"/>
    </xf>
    <xf numFmtId="0" fontId="14" fillId="0" borderId="19" xfId="0" applyFont="1" applyFill="1" applyBorder="1" applyAlignment="1" applyProtection="1">
      <alignment vertical="center" wrapText="1" readingOrder="1"/>
    </xf>
    <xf numFmtId="0" fontId="14" fillId="0" borderId="19" xfId="0" applyFont="1" applyFill="1" applyBorder="1" applyAlignment="1" applyProtection="1">
      <alignment horizontal="left" vertical="center" wrapText="1" readingOrder="1"/>
    </xf>
    <xf numFmtId="0" fontId="18" fillId="12" borderId="15" xfId="0" applyFont="1" applyFill="1" applyBorder="1" applyAlignment="1" applyProtection="1">
      <alignment horizontal="center" vertical="center" wrapText="1"/>
    </xf>
    <xf numFmtId="0" fontId="24" fillId="0" borderId="15" xfId="0" applyFont="1" applyFill="1" applyBorder="1" applyAlignment="1" applyProtection="1">
      <alignment horizontal="left" vertical="center" wrapText="1" readingOrder="1"/>
    </xf>
    <xf numFmtId="0" fontId="24" fillId="0" borderId="10" xfId="0" applyFont="1" applyFill="1" applyBorder="1" applyAlignment="1" applyProtection="1">
      <alignment horizontal="left" vertical="center" wrapText="1" readingOrder="1"/>
    </xf>
    <xf numFmtId="0" fontId="14" fillId="0" borderId="31" xfId="0" applyFont="1" applyFill="1" applyBorder="1" applyAlignment="1" applyProtection="1">
      <alignment horizontal="center" vertical="center" wrapText="1" readingOrder="1"/>
    </xf>
    <xf numFmtId="0" fontId="20" fillId="0" borderId="13" xfId="0" applyFont="1" applyFill="1" applyBorder="1" applyAlignment="1" applyProtection="1">
      <alignment horizontal="center" vertical="center" wrapText="1" readingOrder="1"/>
    </xf>
    <xf numFmtId="0" fontId="13" fillId="0" borderId="13" xfId="0" applyFont="1" applyFill="1" applyBorder="1" applyAlignment="1" applyProtection="1">
      <alignment horizontal="center" vertical="center" wrapText="1" readingOrder="1"/>
      <protection locked="0"/>
    </xf>
    <xf numFmtId="0" fontId="12" fillId="0" borderId="13" xfId="0" applyFont="1" applyFill="1" applyBorder="1" applyAlignment="1" applyProtection="1">
      <alignment horizontal="center" vertical="center" wrapText="1" readingOrder="1"/>
    </xf>
    <xf numFmtId="0" fontId="13" fillId="0" borderId="12" xfId="0" applyFont="1" applyFill="1" applyBorder="1" applyAlignment="1" applyProtection="1">
      <alignment horizontal="center" vertical="center" wrapText="1" readingOrder="1"/>
      <protection locked="0"/>
    </xf>
    <xf numFmtId="0" fontId="14" fillId="0" borderId="30" xfId="0" applyFont="1" applyFill="1" applyBorder="1" applyAlignment="1" applyProtection="1">
      <alignment vertical="center" wrapText="1" readingOrder="1"/>
    </xf>
    <xf numFmtId="0" fontId="14" fillId="0" borderId="18" xfId="0" applyFont="1" applyFill="1" applyBorder="1" applyAlignment="1" applyProtection="1">
      <alignment horizontal="left" vertical="center" wrapText="1" readingOrder="1"/>
    </xf>
    <xf numFmtId="0" fontId="0" fillId="0" borderId="4" xfId="0" applyBorder="1" applyAlignment="1">
      <alignment horizontal="center" readingOrder="1"/>
    </xf>
    <xf numFmtId="0" fontId="0" fillId="16" borderId="1" xfId="0" applyFill="1" applyBorder="1" applyAlignment="1">
      <alignment horizontal="center" readingOrder="1"/>
    </xf>
    <xf numFmtId="0" fontId="0" fillId="16" borderId="2" xfId="0" applyFill="1" applyBorder="1"/>
    <xf numFmtId="0" fontId="0" fillId="16" borderId="14" xfId="0" applyFill="1" applyBorder="1" applyAlignment="1">
      <alignment horizontal="center"/>
    </xf>
    <xf numFmtId="0" fontId="0" fillId="7" borderId="25" xfId="0" applyFill="1" applyBorder="1" applyAlignment="1">
      <alignment horizontal="center" readingOrder="1"/>
    </xf>
    <xf numFmtId="0" fontId="0" fillId="7" borderId="26" xfId="0" applyFill="1" applyBorder="1" applyAlignment="1">
      <alignment horizontal="center"/>
    </xf>
    <xf numFmtId="0" fontId="15" fillId="0" borderId="0" xfId="0" applyFont="1" applyBorder="1" applyAlignment="1">
      <alignment horizontal="center"/>
    </xf>
    <xf numFmtId="0" fontId="15" fillId="0" borderId="4" xfId="0" applyFont="1" applyBorder="1" applyAlignment="1">
      <alignment horizontal="center"/>
    </xf>
    <xf numFmtId="0" fontId="16" fillId="0" borderId="0" xfId="0" applyNumberFormat="1" applyFont="1" applyAlignment="1" applyProtection="1">
      <alignment wrapText="1"/>
    </xf>
    <xf numFmtId="49" fontId="1" fillId="0" borderId="0" xfId="0" applyNumberFormat="1" applyFont="1" applyFill="1" applyAlignment="1" applyProtection="1">
      <alignment horizontal="left" wrapText="1"/>
    </xf>
    <xf numFmtId="0" fontId="1" fillId="0" borderId="0" xfId="0" applyFont="1" applyFill="1" applyAlignment="1" applyProtection="1">
      <alignment horizontal="left" wrapText="1"/>
    </xf>
    <xf numFmtId="0" fontId="24" fillId="0" borderId="15" xfId="0" applyFont="1" applyFill="1" applyBorder="1" applyAlignment="1" applyProtection="1">
      <alignment horizontal="left" vertical="center" wrapText="1" readingOrder="1"/>
    </xf>
    <xf numFmtId="9" fontId="0" fillId="0" borderId="0" xfId="0" applyNumberFormat="1"/>
    <xf numFmtId="0" fontId="2" fillId="0" borderId="2" xfId="0" applyFont="1" applyFill="1" applyBorder="1" applyAlignment="1" applyProtection="1">
      <alignment vertical="center" wrapText="1" readingOrder="1"/>
    </xf>
    <xf numFmtId="0" fontId="19" fillId="0" borderId="2" xfId="0" applyFont="1" applyFill="1" applyBorder="1" applyAlignment="1" applyProtection="1">
      <alignment horizontal="center" vertical="center" readingOrder="1"/>
    </xf>
    <xf numFmtId="0" fontId="19" fillId="11" borderId="10" xfId="0" applyFont="1" applyFill="1" applyBorder="1" applyAlignment="1" applyProtection="1">
      <alignment horizontal="center" readingOrder="1"/>
    </xf>
    <xf numFmtId="0" fontId="0" fillId="6" borderId="25" xfId="0" applyFill="1" applyBorder="1" applyAlignment="1">
      <alignment horizontal="center" readingOrder="1"/>
    </xf>
    <xf numFmtId="0" fontId="0" fillId="6" borderId="0" xfId="0" applyFill="1" applyBorder="1"/>
    <xf numFmtId="0" fontId="0" fillId="6" borderId="26" xfId="0" applyFill="1" applyBorder="1" applyAlignment="1">
      <alignment horizontal="center"/>
    </xf>
    <xf numFmtId="0" fontId="0" fillId="20" borderId="23" xfId="0" applyFill="1" applyBorder="1" applyAlignment="1">
      <alignment horizontal="center" readingOrder="1"/>
    </xf>
    <xf numFmtId="0" fontId="0" fillId="20" borderId="8" xfId="0" applyFill="1" applyBorder="1"/>
    <xf numFmtId="0" fontId="0" fillId="20" borderId="24" xfId="0" applyFill="1" applyBorder="1" applyAlignment="1">
      <alignment horizontal="center"/>
    </xf>
    <xf numFmtId="0" fontId="0" fillId="20" borderId="25" xfId="0" applyFill="1" applyBorder="1" applyAlignment="1">
      <alignment horizontal="center" readingOrder="1"/>
    </xf>
    <xf numFmtId="0" fontId="0" fillId="20" borderId="0" xfId="0" applyFill="1" applyBorder="1"/>
    <xf numFmtId="0" fontId="0" fillId="20" borderId="26" xfId="0" applyFill="1" applyBorder="1" applyAlignment="1">
      <alignment horizontal="center"/>
    </xf>
    <xf numFmtId="0" fontId="0" fillId="6" borderId="23" xfId="0" applyFill="1" applyBorder="1" applyAlignment="1">
      <alignment horizontal="center" readingOrder="1"/>
    </xf>
    <xf numFmtId="0" fontId="0" fillId="6" borderId="8" xfId="0" applyFill="1" applyBorder="1"/>
    <xf numFmtId="0" fontId="0" fillId="6" borderId="24" xfId="0" applyFill="1" applyBorder="1" applyAlignment="1">
      <alignment horizontal="center"/>
    </xf>
    <xf numFmtId="0" fontId="0" fillId="20" borderId="1" xfId="0" applyFill="1" applyBorder="1" applyAlignment="1">
      <alignment horizontal="center" readingOrder="1"/>
    </xf>
    <xf numFmtId="0" fontId="0" fillId="20" borderId="2" xfId="0" applyFill="1" applyBorder="1"/>
    <xf numFmtId="0" fontId="0" fillId="20" borderId="14" xfId="0" applyFill="1" applyBorder="1" applyAlignment="1">
      <alignment horizontal="center"/>
    </xf>
    <xf numFmtId="0" fontId="0" fillId="20" borderId="0" xfId="0" applyFill="1" applyBorder="1" applyAlignment="1">
      <alignment horizontal="center" readingOrder="1"/>
    </xf>
    <xf numFmtId="0" fontId="0" fillId="20" borderId="0" xfId="0" applyFill="1" applyBorder="1" applyAlignment="1">
      <alignment horizontal="center"/>
    </xf>
    <xf numFmtId="0" fontId="0" fillId="16" borderId="0" xfId="0" applyFill="1" applyBorder="1" applyAlignment="1">
      <alignment horizontal="center" readingOrder="1"/>
    </xf>
    <xf numFmtId="0" fontId="0" fillId="16" borderId="0" xfId="0" applyFill="1" applyBorder="1" applyAlignment="1">
      <alignment horizontal="center"/>
    </xf>
    <xf numFmtId="0" fontId="0" fillId="7" borderId="0" xfId="0" applyFill="1" applyBorder="1" applyAlignment="1">
      <alignment horizontal="center" readingOrder="1"/>
    </xf>
    <xf numFmtId="0" fontId="0" fillId="7" borderId="0" xfId="0" applyFill="1" applyBorder="1" applyAlignment="1">
      <alignment horizontal="center"/>
    </xf>
    <xf numFmtId="0" fontId="0" fillId="6" borderId="0" xfId="0" applyFill="1" applyBorder="1" applyAlignment="1">
      <alignment horizontal="center" readingOrder="1"/>
    </xf>
    <xf numFmtId="0" fontId="0" fillId="6" borderId="0" xfId="0" applyFill="1" applyBorder="1" applyAlignment="1">
      <alignment horizontal="center"/>
    </xf>
    <xf numFmtId="0" fontId="0" fillId="15" borderId="0" xfId="0" applyFill="1" applyBorder="1" applyAlignment="1">
      <alignment horizontal="center" readingOrder="1"/>
    </xf>
    <xf numFmtId="0" fontId="0" fillId="15" borderId="0" xfId="0" applyFill="1" applyBorder="1"/>
    <xf numFmtId="0" fontId="0" fillId="15" borderId="0" xfId="0" applyFill="1" applyBorder="1" applyAlignment="1">
      <alignment horizontal="center"/>
    </xf>
    <xf numFmtId="9" fontId="12" fillId="18" borderId="13" xfId="0" applyNumberFormat="1" applyFont="1" applyFill="1" applyBorder="1" applyAlignment="1" applyProtection="1">
      <alignment horizontal="center" vertical="center" readingOrder="1"/>
    </xf>
    <xf numFmtId="9" fontId="13" fillId="21" borderId="11" xfId="0" applyNumberFormat="1" applyFont="1" applyFill="1" applyBorder="1" applyAlignment="1" applyProtection="1">
      <alignment horizontal="center" vertical="center" wrapText="1" readingOrder="1"/>
    </xf>
    <xf numFmtId="9" fontId="13" fillId="21" borderId="12" xfId="0" applyNumberFormat="1" applyFont="1" applyFill="1" applyBorder="1" applyAlignment="1" applyProtection="1">
      <alignment horizontal="center" vertical="center" wrapText="1" readingOrder="1"/>
    </xf>
    <xf numFmtId="9" fontId="13" fillId="21" borderId="13" xfId="0" applyNumberFormat="1" applyFont="1" applyFill="1" applyBorder="1" applyAlignment="1" applyProtection="1">
      <alignment horizontal="center" vertical="center" wrapText="1" readingOrder="1"/>
    </xf>
    <xf numFmtId="9" fontId="13" fillId="18" borderId="11" xfId="0" applyNumberFormat="1" applyFont="1" applyFill="1" applyBorder="1" applyAlignment="1" applyProtection="1">
      <alignment horizontal="center" vertical="center" readingOrder="1"/>
    </xf>
    <xf numFmtId="9" fontId="13" fillId="19" borderId="12" xfId="0" applyNumberFormat="1" applyFont="1" applyFill="1" applyBorder="1" applyAlignment="1" applyProtection="1">
      <alignment horizontal="center" vertical="center" readingOrder="1"/>
    </xf>
    <xf numFmtId="9" fontId="13" fillId="17" borderId="12" xfId="0" applyNumberFormat="1" applyFont="1" applyFill="1" applyBorder="1" applyAlignment="1" applyProtection="1">
      <alignment horizontal="center" vertical="center" readingOrder="1"/>
    </xf>
    <xf numFmtId="9" fontId="13" fillId="18" borderId="12" xfId="0" applyNumberFormat="1" applyFont="1" applyFill="1" applyBorder="1" applyAlignment="1" applyProtection="1">
      <alignment horizontal="center" vertical="center" readingOrder="1"/>
    </xf>
    <xf numFmtId="0" fontId="14" fillId="0" borderId="11" xfId="0" applyFont="1" applyFill="1" applyBorder="1" applyAlignment="1" applyProtection="1">
      <alignment horizontal="center" vertical="center" wrapText="1" readingOrder="1"/>
    </xf>
    <xf numFmtId="0" fontId="14" fillId="0" borderId="12" xfId="0" applyFont="1" applyFill="1" applyBorder="1" applyAlignment="1" applyProtection="1">
      <alignment horizontal="center" vertical="center" wrapText="1" readingOrder="1"/>
    </xf>
    <xf numFmtId="0" fontId="14" fillId="0" borderId="13" xfId="0" applyFont="1" applyFill="1" applyBorder="1" applyAlignment="1" applyProtection="1">
      <alignment horizontal="center" vertical="center" wrapText="1" readingOrder="1"/>
    </xf>
    <xf numFmtId="0" fontId="25" fillId="0" borderId="8" xfId="0" applyFont="1" applyFill="1" applyBorder="1" applyAlignment="1" applyProtection="1">
      <alignment horizontal="center" wrapText="1" readingOrder="1"/>
      <protection locked="0"/>
    </xf>
    <xf numFmtId="0" fontId="19" fillId="0" borderId="0" xfId="0" applyFont="1" applyBorder="1" applyAlignment="1">
      <alignment horizontal="center" readingOrder="1"/>
    </xf>
    <xf numFmtId="0" fontId="1" fillId="0" borderId="0" xfId="0" applyFont="1" applyFill="1" applyBorder="1" applyAlignment="1" applyProtection="1">
      <alignment horizontal="center" readingOrder="1"/>
    </xf>
    <xf numFmtId="0" fontId="18" fillId="12" borderId="10" xfId="0" applyFont="1" applyFill="1" applyBorder="1" applyAlignment="1" applyProtection="1">
      <alignment horizontal="center" vertical="center" wrapText="1"/>
    </xf>
    <xf numFmtId="0" fontId="18" fillId="12" borderId="10" xfId="0" applyFont="1" applyFill="1" applyBorder="1" applyAlignment="1" applyProtection="1">
      <alignment horizontal="center" vertical="center" wrapText="1" readingOrder="1"/>
    </xf>
    <xf numFmtId="0" fontId="13" fillId="0" borderId="17" xfId="0" applyNumberFormat="1" applyFont="1" applyFill="1" applyBorder="1" applyAlignment="1" applyProtection="1">
      <alignment horizontal="center" vertical="center" wrapText="1" readingOrder="1"/>
      <protection locked="0"/>
    </xf>
    <xf numFmtId="0" fontId="12" fillId="0" borderId="17" xfId="0" quotePrefix="1" applyFont="1" applyFill="1" applyBorder="1" applyAlignment="1" applyProtection="1">
      <alignment horizontal="center" vertical="center" readingOrder="1"/>
    </xf>
    <xf numFmtId="0" fontId="12" fillId="0" borderId="17" xfId="0" applyFont="1" applyFill="1" applyBorder="1" applyAlignment="1" applyProtection="1">
      <alignment wrapText="1" readingOrder="1"/>
    </xf>
    <xf numFmtId="0" fontId="14" fillId="0" borderId="34" xfId="0" applyFont="1" applyFill="1" applyBorder="1" applyAlignment="1" applyProtection="1">
      <alignment vertical="center" wrapText="1" readingOrder="1"/>
    </xf>
    <xf numFmtId="0" fontId="14" fillId="0" borderId="35" xfId="0" applyFont="1" applyFill="1" applyBorder="1" applyAlignment="1" applyProtection="1">
      <alignment vertical="center" wrapText="1" readingOrder="1"/>
    </xf>
    <xf numFmtId="0" fontId="14" fillId="0" borderId="36" xfId="0" applyFont="1" applyFill="1" applyBorder="1" applyAlignment="1" applyProtection="1">
      <alignment vertical="center" wrapText="1" readingOrder="1"/>
    </xf>
    <xf numFmtId="0" fontId="14" fillId="0" borderId="37" xfId="0" applyFont="1" applyFill="1" applyBorder="1" applyAlignment="1" applyProtection="1">
      <alignment vertical="center" wrapText="1" readingOrder="1"/>
    </xf>
    <xf numFmtId="0" fontId="21" fillId="13" borderId="5" xfId="0" applyFont="1" applyFill="1" applyBorder="1" applyAlignment="1" applyProtection="1">
      <alignment horizontal="center" vertical="center" wrapText="1" readingOrder="1"/>
    </xf>
    <xf numFmtId="0" fontId="21" fillId="13" borderId="6" xfId="0" applyFont="1" applyFill="1" applyBorder="1" applyAlignment="1" applyProtection="1">
      <alignment horizontal="center" vertical="center" readingOrder="1"/>
    </xf>
    <xf numFmtId="0" fontId="14" fillId="0" borderId="32" xfId="0" applyFont="1" applyFill="1" applyBorder="1" applyAlignment="1" applyProtection="1">
      <alignment vertical="center" wrapText="1" readingOrder="1"/>
    </xf>
    <xf numFmtId="0" fontId="14" fillId="0" borderId="33" xfId="0" applyFont="1" applyFill="1" applyBorder="1" applyAlignment="1" applyProtection="1">
      <alignment vertical="center" wrapText="1" readingOrder="1"/>
    </xf>
    <xf numFmtId="0" fontId="18" fillId="12" borderId="23" xfId="0" applyFont="1" applyFill="1" applyBorder="1" applyAlignment="1" applyProtection="1">
      <alignment horizontal="center" vertical="center" wrapText="1"/>
    </xf>
    <xf numFmtId="0" fontId="18" fillId="12" borderId="24" xfId="0" applyFont="1" applyFill="1" applyBorder="1" applyAlignment="1" applyProtection="1">
      <alignment horizontal="center" vertical="center" wrapText="1"/>
    </xf>
    <xf numFmtId="0" fontId="18" fillId="12" borderId="5" xfId="0" applyFont="1" applyFill="1" applyBorder="1" applyAlignment="1" applyProtection="1">
      <alignment horizontal="center" vertical="center" wrapText="1" readingOrder="1"/>
    </xf>
    <xf numFmtId="0" fontId="18" fillId="12" borderId="6" xfId="0" applyFont="1" applyFill="1" applyBorder="1" applyAlignment="1" applyProtection="1">
      <alignment horizontal="center" vertical="center" wrapText="1" readingOrder="1"/>
    </xf>
    <xf numFmtId="0" fontId="18" fillId="12" borderId="24" xfId="0" applyFont="1" applyFill="1" applyBorder="1" applyAlignment="1" applyProtection="1">
      <alignment horizontal="center" vertical="center" wrapText="1" readingOrder="1"/>
    </xf>
    <xf numFmtId="0" fontId="14" fillId="0" borderId="34" xfId="0" applyFont="1" applyFill="1" applyBorder="1" applyAlignment="1" applyProtection="1">
      <alignment horizontal="left" vertical="center" wrapText="1" readingOrder="1"/>
    </xf>
    <xf numFmtId="0" fontId="14" fillId="0" borderId="35" xfId="0" applyFont="1" applyFill="1" applyBorder="1" applyAlignment="1" applyProtection="1">
      <alignment horizontal="left" vertical="center" wrapText="1" readingOrder="1"/>
    </xf>
    <xf numFmtId="0" fontId="15" fillId="4" borderId="0" xfId="0" applyFont="1" applyFill="1" applyBorder="1" applyAlignment="1" applyProtection="1">
      <alignment horizontal="center" readingOrder="1"/>
    </xf>
    <xf numFmtId="0" fontId="1" fillId="0" borderId="0" xfId="0" applyFont="1" applyFill="1" applyBorder="1" applyAlignment="1" applyProtection="1">
      <alignment horizontal="center" readingOrder="1"/>
    </xf>
    <xf numFmtId="0" fontId="11" fillId="11" borderId="5" xfId="1" applyFont="1" applyFill="1" applyBorder="1" applyAlignment="1" applyProtection="1">
      <alignment horizontal="center" wrapText="1" readingOrder="1"/>
    </xf>
    <xf numFmtId="0" fontId="11" fillId="11" borderId="7" xfId="1" applyFont="1" applyFill="1" applyBorder="1" applyAlignment="1" applyProtection="1">
      <alignment horizontal="center" wrapText="1" readingOrder="1"/>
    </xf>
    <xf numFmtId="0" fontId="1" fillId="0" borderId="9" xfId="0" applyFont="1" applyFill="1" applyBorder="1" applyAlignment="1" applyProtection="1">
      <alignment horizontal="center" readingOrder="1"/>
    </xf>
    <xf numFmtId="0" fontId="23" fillId="4" borderId="15" xfId="0" applyFont="1" applyFill="1" applyBorder="1" applyAlignment="1" applyProtection="1">
      <alignment horizontal="center" vertical="center" textRotation="90" wrapText="1" readingOrder="1"/>
    </xf>
    <xf numFmtId="0" fontId="23" fillId="4" borderId="16" xfId="0" applyFont="1" applyFill="1" applyBorder="1" applyAlignment="1" applyProtection="1">
      <alignment horizontal="center" vertical="center" textRotation="90" wrapText="1" readingOrder="1"/>
    </xf>
    <xf numFmtId="0" fontId="23" fillId="4" borderId="17" xfId="0" applyFont="1" applyFill="1" applyBorder="1" applyAlignment="1" applyProtection="1">
      <alignment horizontal="center" vertical="center" textRotation="90" wrapText="1" readingOrder="1"/>
    </xf>
    <xf numFmtId="0" fontId="23" fillId="10" borderId="15" xfId="0" applyFont="1" applyFill="1" applyBorder="1" applyAlignment="1" applyProtection="1">
      <alignment horizontal="center" vertical="center" textRotation="90" wrapText="1" readingOrder="1"/>
    </xf>
    <xf numFmtId="0" fontId="23" fillId="10" borderId="16" xfId="0" applyFont="1" applyFill="1" applyBorder="1" applyAlignment="1" applyProtection="1">
      <alignment horizontal="center" vertical="center" textRotation="90" wrapText="1" readingOrder="1"/>
    </xf>
    <xf numFmtId="0" fontId="23" fillId="10" borderId="17" xfId="0" applyFont="1" applyFill="1" applyBorder="1" applyAlignment="1" applyProtection="1">
      <alignment horizontal="center" vertical="center" textRotation="90" wrapText="1" readingOrder="1"/>
    </xf>
    <xf numFmtId="0" fontId="23" fillId="9" borderId="15" xfId="0" applyFont="1" applyFill="1" applyBorder="1" applyAlignment="1" applyProtection="1">
      <alignment horizontal="center" vertical="center" textRotation="90" wrapText="1" readingOrder="1"/>
    </xf>
    <xf numFmtId="0" fontId="23" fillId="9" borderId="16" xfId="0" applyFont="1" applyFill="1" applyBorder="1" applyAlignment="1" applyProtection="1">
      <alignment horizontal="center" vertical="center" textRotation="90" wrapText="1" readingOrder="1"/>
    </xf>
    <xf numFmtId="0" fontId="23" fillId="9" borderId="17" xfId="0" applyFont="1" applyFill="1" applyBorder="1" applyAlignment="1" applyProtection="1">
      <alignment horizontal="center" vertical="center" textRotation="90" wrapText="1" readingOrder="1"/>
    </xf>
    <xf numFmtId="0" fontId="23" fillId="11" borderId="15" xfId="0" applyFont="1" applyFill="1" applyBorder="1" applyAlignment="1" applyProtection="1">
      <alignment horizontal="center" vertical="center" textRotation="90" wrapText="1" readingOrder="1"/>
    </xf>
    <xf numFmtId="0" fontId="23" fillId="11" borderId="16" xfId="0" applyFont="1" applyFill="1" applyBorder="1" applyAlignment="1" applyProtection="1">
      <alignment horizontal="center" vertical="center" textRotation="90" wrapText="1" readingOrder="1"/>
    </xf>
    <xf numFmtId="0" fontId="23" fillId="11" borderId="17" xfId="0" applyFont="1" applyFill="1" applyBorder="1" applyAlignment="1" applyProtection="1">
      <alignment horizontal="center" vertical="center" textRotation="90" wrapText="1" readingOrder="1"/>
    </xf>
    <xf numFmtId="0" fontId="14" fillId="0" borderId="32" xfId="0" applyFont="1" applyFill="1" applyBorder="1" applyAlignment="1" applyProtection="1">
      <alignment horizontal="left" vertical="center" wrapText="1" readingOrder="1"/>
    </xf>
    <xf numFmtId="0" fontId="14" fillId="0" borderId="33" xfId="0" applyFont="1" applyFill="1" applyBorder="1" applyAlignment="1" applyProtection="1">
      <alignment horizontal="left" vertical="center" wrapText="1" readingOrder="1"/>
    </xf>
    <xf numFmtId="0" fontId="18" fillId="12" borderId="5" xfId="0" applyFont="1" applyFill="1" applyBorder="1" applyAlignment="1" applyProtection="1">
      <alignment horizontal="center" vertical="center" readingOrder="1"/>
      <protection locked="0"/>
    </xf>
    <xf numFmtId="0" fontId="18" fillId="12" borderId="6" xfId="0" applyFont="1" applyFill="1" applyBorder="1" applyAlignment="1" applyProtection="1">
      <alignment horizontal="center" vertical="center" readingOrder="1"/>
      <protection locked="0"/>
    </xf>
    <xf numFmtId="0" fontId="18" fillId="12" borderId="7" xfId="0" applyFont="1" applyFill="1" applyBorder="1" applyAlignment="1" applyProtection="1">
      <alignment horizontal="center" vertical="center" readingOrder="1"/>
      <protection locked="0"/>
    </xf>
    <xf numFmtId="0" fontId="15" fillId="0" borderId="0" xfId="0" applyFont="1" applyAlignment="1">
      <alignment horizontal="center"/>
    </xf>
  </cellXfs>
  <cellStyles count="3">
    <cellStyle name="Normal" xfId="0" builtinId="0"/>
    <cellStyle name="Normal 2" xfId="2"/>
    <cellStyle name="Note" xfId="1" builtinId="10"/>
  </cellStyles>
  <dxfs count="0"/>
  <tableStyles count="0" defaultTableStyle="TableStyleMedium2" defaultPivotStyle="PivotStyleLight16"/>
  <colors>
    <mruColors>
      <color rgb="FF33CCCC"/>
      <color rgb="FFFF6699"/>
      <color rgb="FF99CCFF"/>
      <color rgb="FF0000CC"/>
      <color rgb="FFFF9900"/>
      <color rgb="FF000099"/>
      <color rgb="FFCC0000"/>
      <color rgb="FF336699"/>
      <color rgb="FF3366CC"/>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oneCellAnchor>
    <xdr:from>
      <xdr:col>2</xdr:col>
      <xdr:colOff>36462</xdr:colOff>
      <xdr:row>2</xdr:row>
      <xdr:rowOff>2250</xdr:rowOff>
    </xdr:from>
    <xdr:ext cx="184731" cy="264558"/>
    <xdr:sp macro="" textlink="">
      <xdr:nvSpPr>
        <xdr:cNvPr id="2" name="TextBox 1"/>
        <xdr:cNvSpPr txBox="1"/>
      </xdr:nvSpPr>
      <xdr:spPr>
        <a:xfrm>
          <a:off x="468262" y="656300"/>
          <a:ext cx="184731" cy="264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absolute">
        <xdr:from>
          <xdr:col>0</xdr:col>
          <xdr:colOff>31712</xdr:colOff>
          <xdr:row>1</xdr:row>
          <xdr:rowOff>25400</xdr:rowOff>
        </xdr:from>
        <xdr:to>
          <xdr:col>2</xdr:col>
          <xdr:colOff>755612</xdr:colOff>
          <xdr:row>1</xdr:row>
          <xdr:rowOff>311150</xdr:rowOff>
        </xdr:to>
        <xdr:sp macro="" textlink="">
          <xdr:nvSpPr>
            <xdr:cNvPr id="3149" name="CommandButton1" hidden="1">
              <a:extLst>
                <a:ext uri="{63B3BB69-23CF-44E3-9099-C40C66FF867C}">
                  <a14:compatExt spid="_x0000_s31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28156</xdr:colOff>
          <xdr:row>1</xdr:row>
          <xdr:rowOff>25400</xdr:rowOff>
        </xdr:from>
        <xdr:to>
          <xdr:col>4</xdr:col>
          <xdr:colOff>783806</xdr:colOff>
          <xdr:row>1</xdr:row>
          <xdr:rowOff>311150</xdr:rowOff>
        </xdr:to>
        <xdr:sp macro="" textlink="">
          <xdr:nvSpPr>
            <xdr:cNvPr id="3151" name="CommandButton2" hidden="1">
              <a:extLst>
                <a:ext uri="{63B3BB69-23CF-44E3-9099-C40C66FF867C}">
                  <a14:compatExt spid="_x0000_s315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875487</xdr:colOff>
          <xdr:row>1</xdr:row>
          <xdr:rowOff>25400</xdr:rowOff>
        </xdr:from>
        <xdr:to>
          <xdr:col>5</xdr:col>
          <xdr:colOff>88087</xdr:colOff>
          <xdr:row>1</xdr:row>
          <xdr:rowOff>311150</xdr:rowOff>
        </xdr:to>
        <xdr:sp macro="" textlink="">
          <xdr:nvSpPr>
            <xdr:cNvPr id="3152" name="CommandButton3" hidden="1">
              <a:extLst>
                <a:ext uri="{63B3BB69-23CF-44E3-9099-C40C66FF867C}">
                  <a14:compatExt spid="_x0000_s315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185039</xdr:colOff>
          <xdr:row>1</xdr:row>
          <xdr:rowOff>25400</xdr:rowOff>
        </xdr:from>
        <xdr:to>
          <xdr:col>5</xdr:col>
          <xdr:colOff>1517269</xdr:colOff>
          <xdr:row>1</xdr:row>
          <xdr:rowOff>311150</xdr:rowOff>
        </xdr:to>
        <xdr:sp macro="" textlink="">
          <xdr:nvSpPr>
            <xdr:cNvPr id="3153" name="CommandButton4" hidden="1">
              <a:extLst>
                <a:ext uri="{63B3BB69-23CF-44E3-9099-C40C66FF867C}">
                  <a14:compatExt spid="_x0000_s315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1606880</xdr:colOff>
          <xdr:row>1</xdr:row>
          <xdr:rowOff>25400</xdr:rowOff>
        </xdr:from>
        <xdr:to>
          <xdr:col>6</xdr:col>
          <xdr:colOff>1048080</xdr:colOff>
          <xdr:row>1</xdr:row>
          <xdr:rowOff>311150</xdr:rowOff>
        </xdr:to>
        <xdr:sp macro="" textlink="">
          <xdr:nvSpPr>
            <xdr:cNvPr id="3178" name="ComboBox1" hidden="1">
              <a:extLst>
                <a:ext uri="{63B3BB69-23CF-44E3-9099-C40C66FF867C}">
                  <a14:compatExt spid="_x0000_s3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1074280</xdr:colOff>
          <xdr:row>1</xdr:row>
          <xdr:rowOff>25400</xdr:rowOff>
        </xdr:from>
        <xdr:to>
          <xdr:col>6</xdr:col>
          <xdr:colOff>1442580</xdr:colOff>
          <xdr:row>1</xdr:row>
          <xdr:rowOff>311150</xdr:rowOff>
        </xdr:to>
        <xdr:sp macro="" textlink="">
          <xdr:nvSpPr>
            <xdr:cNvPr id="3199" name="CommandButton5" hidden="1">
              <a:extLst>
                <a:ext uri="{63B3BB69-23CF-44E3-9099-C40C66FF867C}">
                  <a14:compatExt spid="_x0000_s319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144010</xdr:colOff>
      <xdr:row>2</xdr:row>
      <xdr:rowOff>73707</xdr:rowOff>
    </xdr:from>
    <xdr:to>
      <xdr:col>4</xdr:col>
      <xdr:colOff>1939424</xdr:colOff>
      <xdr:row>13</xdr:row>
      <xdr:rowOff>50600</xdr:rowOff>
    </xdr:to>
    <xdr:grpSp>
      <xdr:nvGrpSpPr>
        <xdr:cNvPr id="15" name="Group 14"/>
        <xdr:cNvGrpSpPr/>
      </xdr:nvGrpSpPr>
      <xdr:grpSpPr>
        <a:xfrm>
          <a:off x="144010" y="724582"/>
          <a:ext cx="3438477" cy="2024768"/>
          <a:chOff x="98421" y="729545"/>
          <a:chExt cx="3438477" cy="2532768"/>
        </a:xfrm>
      </xdr:grpSpPr>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1" y="729545"/>
            <a:ext cx="3438477" cy="2532768"/>
          </a:xfrm>
          <a:prstGeom prst="rect">
            <a:avLst/>
          </a:prstGeom>
        </xdr:spPr>
      </xdr:pic>
      <xdr:pic>
        <xdr:nvPicPr>
          <xdr:cNvPr id="17" name="Picture 16" descr="http://elearn.cs.man.ac.uk/~atlas/images/uom-logo.jp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9166" y="2831994"/>
            <a:ext cx="664036" cy="32529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17" descr="http://imgwpowl.cs.manchester.ac.uk/wp-content/uploads/2011/03/BHIG2.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78794" y="2807306"/>
            <a:ext cx="664033" cy="39151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0</xdr:colOff>
      <xdr:row>0</xdr:row>
      <xdr:rowOff>0</xdr:rowOff>
    </xdr:from>
    <xdr:ext cx="184731" cy="264558"/>
    <xdr:sp macro="" textlink="">
      <xdr:nvSpPr>
        <xdr:cNvPr id="2" name="TextBox 1"/>
        <xdr:cNvSpPr txBox="1"/>
      </xdr:nvSpPr>
      <xdr:spPr>
        <a:xfrm>
          <a:off x="464591" y="640076"/>
          <a:ext cx="184731" cy="264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0</xdr:row>
          <xdr:rowOff>152400</xdr:rowOff>
        </xdr:from>
        <xdr:to>
          <xdr:col>0</xdr:col>
          <xdr:colOff>2393950</xdr:colOff>
          <xdr:row>0</xdr:row>
          <xdr:rowOff>704850</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0</xdr:row>
          <xdr:rowOff>1028700</xdr:rowOff>
        </xdr:from>
        <xdr:to>
          <xdr:col>0</xdr:col>
          <xdr:colOff>2832100</xdr:colOff>
          <xdr:row>0</xdr:row>
          <xdr:rowOff>1390650</xdr:rowOff>
        </xdr:to>
        <xdr:sp macro="" textlink="">
          <xdr:nvSpPr>
            <xdr:cNvPr id="6146" name="CmdBtnInitialiseCheckListSystem"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0</xdr:row>
          <xdr:rowOff>1562100</xdr:rowOff>
        </xdr:from>
        <xdr:to>
          <xdr:col>0</xdr:col>
          <xdr:colOff>2813050</xdr:colOff>
          <xdr:row>0</xdr:row>
          <xdr:rowOff>2152650</xdr:rowOff>
        </xdr:to>
        <xdr:sp macro="" textlink="">
          <xdr:nvSpPr>
            <xdr:cNvPr id="6147" name="CmdBtnSetDataValidation"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2914650</xdr:colOff>
          <xdr:row>0</xdr:row>
          <xdr:rowOff>171450</xdr:rowOff>
        </xdr:from>
        <xdr:to>
          <xdr:col>0</xdr:col>
          <xdr:colOff>4984750</xdr:colOff>
          <xdr:row>0</xdr:row>
          <xdr:rowOff>660400</xdr:rowOff>
        </xdr:to>
        <xdr:sp macro="" textlink="">
          <xdr:nvSpPr>
            <xdr:cNvPr id="6148" name="CmdBtnDeletePaper"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165100</xdr:rowOff>
        </xdr:from>
        <xdr:to>
          <xdr:col>4</xdr:col>
          <xdr:colOff>127000</xdr:colOff>
          <xdr:row>0</xdr:row>
          <xdr:rowOff>654050</xdr:rowOff>
        </xdr:to>
        <xdr:sp macro="" textlink="">
          <xdr:nvSpPr>
            <xdr:cNvPr id="6149" name="CommandButton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2921000</xdr:colOff>
          <xdr:row>0</xdr:row>
          <xdr:rowOff>1568450</xdr:rowOff>
        </xdr:from>
        <xdr:to>
          <xdr:col>0</xdr:col>
          <xdr:colOff>4991100</xdr:colOff>
          <xdr:row>0</xdr:row>
          <xdr:rowOff>2057400</xdr:rowOff>
        </xdr:to>
        <xdr:sp macro="" textlink="">
          <xdr:nvSpPr>
            <xdr:cNvPr id="6150" name="CommandButton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1587500</xdr:rowOff>
        </xdr:from>
        <xdr:to>
          <xdr:col>4</xdr:col>
          <xdr:colOff>127000</xdr:colOff>
          <xdr:row>0</xdr:row>
          <xdr:rowOff>2076450</xdr:rowOff>
        </xdr:to>
        <xdr:sp macro="" textlink="">
          <xdr:nvSpPr>
            <xdr:cNvPr id="6151" name="CommandButton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5778500</xdr:colOff>
          <xdr:row>0</xdr:row>
          <xdr:rowOff>2438400</xdr:rowOff>
        </xdr:from>
        <xdr:to>
          <xdr:col>0</xdr:col>
          <xdr:colOff>8267700</xdr:colOff>
          <xdr:row>0</xdr:row>
          <xdr:rowOff>3194050</xdr:rowOff>
        </xdr:to>
        <xdr:sp macro="" textlink="">
          <xdr:nvSpPr>
            <xdr:cNvPr id="6152" name="CommandButton2"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2.xml"/><Relationship Id="rId18" Type="http://schemas.openxmlformats.org/officeDocument/2006/relationships/image" Target="../media/image17.emf"/><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4.emf"/><Relationship Id="rId17" Type="http://schemas.openxmlformats.org/officeDocument/2006/relationships/control" Target="../activeX/activeX14.xml"/><Relationship Id="rId2" Type="http://schemas.openxmlformats.org/officeDocument/2006/relationships/vmlDrawing" Target="../drawings/vmlDrawing2.vml"/><Relationship Id="rId16" Type="http://schemas.openxmlformats.org/officeDocument/2006/relationships/image" Target="../media/image16.emf"/><Relationship Id="rId1" Type="http://schemas.openxmlformats.org/officeDocument/2006/relationships/drawing" Target="../drawings/drawing3.xml"/><Relationship Id="rId6" Type="http://schemas.openxmlformats.org/officeDocument/2006/relationships/image" Target="../media/image11.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control" Target="../activeX/activeX13.xml"/><Relationship Id="rId10" Type="http://schemas.openxmlformats.org/officeDocument/2006/relationships/image" Target="../media/image13.emf"/><Relationship Id="rId4" Type="http://schemas.openxmlformats.org/officeDocument/2006/relationships/image" Target="../media/image10.emf"/><Relationship Id="rId9" Type="http://schemas.openxmlformats.org/officeDocument/2006/relationships/control" Target="../activeX/activeX10.xml"/><Relationship Id="rId14" Type="http://schemas.openxmlformats.org/officeDocument/2006/relationships/image" Target="../media/image1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9"/>
  <sheetViews>
    <sheetView showGridLines="0" tabSelected="1" zoomScale="80" zoomScaleNormal="80" zoomScaleSheetLayoutView="80" workbookViewId="0">
      <pane xSplit="7" ySplit="15" topLeftCell="H16" activePane="bottomRight" state="frozen"/>
      <selection pane="topRight"/>
      <selection pane="bottomLeft"/>
      <selection pane="bottomRight" activeCell="D17" sqref="D17"/>
    </sheetView>
  </sheetViews>
  <sheetFormatPr defaultColWidth="9.26953125" defaultRowHeight="14.5" zeroHeight="1"/>
  <cols>
    <col min="1" max="1" width="6.1796875" style="5" customWidth="1"/>
    <col min="2" max="2" width="5.26953125" style="6" hidden="1" customWidth="1"/>
    <col min="3" max="3" width="11.7265625" style="7" customWidth="1"/>
    <col min="4" max="4" width="5.7265625" style="7" customWidth="1"/>
    <col min="5" max="5" width="27.81640625" style="10" customWidth="1"/>
    <col min="6" max="6" width="23.81640625" style="10" customWidth="1"/>
    <col min="7" max="7" width="21.90625" style="10" customWidth="1"/>
    <col min="8" max="9" width="22" style="38" customWidth="1"/>
    <col min="10" max="16053" width="9.26953125" style="7"/>
    <col min="16054" max="16384" width="8.36328125" style="7" customWidth="1"/>
  </cols>
  <sheetData>
    <row r="1" spans="1:9" ht="24.15" customHeight="1" thickBot="1">
      <c r="A1" s="196" t="s">
        <v>135</v>
      </c>
      <c r="B1" s="197"/>
      <c r="C1" s="197"/>
      <c r="D1" s="197"/>
      <c r="E1" s="197"/>
      <c r="F1" s="197"/>
      <c r="G1" s="197"/>
      <c r="H1" s="33"/>
      <c r="I1" s="33"/>
    </row>
    <row r="2" spans="1:9" ht="27.5" customHeight="1">
      <c r="A2" s="30"/>
      <c r="B2" s="30"/>
      <c r="C2" s="30"/>
      <c r="D2" s="30"/>
      <c r="E2" s="30"/>
      <c r="F2" s="30"/>
      <c r="G2" s="55"/>
      <c r="H2" s="32"/>
      <c r="I2" s="32"/>
    </row>
    <row r="3" spans="1:9" s="24" customFormat="1" ht="15.4" customHeight="1" thickBot="1">
      <c r="A3" s="207"/>
      <c r="B3" s="207"/>
      <c r="C3" s="207"/>
      <c r="D3" s="207"/>
      <c r="E3" s="207"/>
      <c r="F3" s="207"/>
      <c r="G3" s="56" t="s">
        <v>87</v>
      </c>
      <c r="H3" s="31" t="s">
        <v>87</v>
      </c>
      <c r="I3" s="31" t="s">
        <v>87</v>
      </c>
    </row>
    <row r="4" spans="1:9" s="9" customFormat="1" ht="13">
      <c r="A4" s="208"/>
      <c r="B4" s="208"/>
      <c r="C4" s="208"/>
      <c r="D4" s="208"/>
      <c r="E4" s="208"/>
      <c r="F4" s="25" t="s">
        <v>190</v>
      </c>
      <c r="G4" s="174"/>
      <c r="H4" s="177">
        <v>1</v>
      </c>
      <c r="I4" s="177">
        <v>1</v>
      </c>
    </row>
    <row r="5" spans="1:9" s="9" customFormat="1" ht="13">
      <c r="A5" s="208"/>
      <c r="B5" s="208"/>
      <c r="C5" s="208"/>
      <c r="D5" s="208"/>
      <c r="E5" s="208"/>
      <c r="F5" s="26" t="s">
        <v>189</v>
      </c>
      <c r="G5" s="175"/>
      <c r="H5" s="178">
        <v>0.77</v>
      </c>
      <c r="I5" s="180">
        <v>1</v>
      </c>
    </row>
    <row r="6" spans="1:9" s="9" customFormat="1" ht="13">
      <c r="A6" s="208"/>
      <c r="B6" s="208"/>
      <c r="C6" s="208"/>
      <c r="D6" s="208"/>
      <c r="E6" s="208"/>
      <c r="F6" s="26" t="s">
        <v>265</v>
      </c>
      <c r="G6" s="175"/>
      <c r="H6" s="178">
        <v>0.69</v>
      </c>
      <c r="I6" s="178">
        <v>0.69</v>
      </c>
    </row>
    <row r="7" spans="1:9" s="9" customFormat="1" ht="13">
      <c r="A7" s="208"/>
      <c r="B7" s="208"/>
      <c r="C7" s="208"/>
      <c r="D7" s="208"/>
      <c r="E7" s="208"/>
      <c r="F7" s="26" t="s">
        <v>266</v>
      </c>
      <c r="G7" s="175"/>
      <c r="H7" s="179">
        <v>0.2</v>
      </c>
      <c r="I7" s="179">
        <v>0.2</v>
      </c>
    </row>
    <row r="8" spans="1:9" s="9" customFormat="1" ht="13.5" thickBot="1">
      <c r="A8" s="208"/>
      <c r="B8" s="208"/>
      <c r="C8" s="208"/>
      <c r="D8" s="208"/>
      <c r="E8" s="208"/>
      <c r="F8" s="27" t="s">
        <v>191</v>
      </c>
      <c r="G8" s="176"/>
      <c r="H8" s="173">
        <v>0.9</v>
      </c>
      <c r="I8" s="173">
        <v>1</v>
      </c>
    </row>
    <row r="9" spans="1:9" s="9" customFormat="1" ht="6" customHeight="1" thickBot="1">
      <c r="A9" s="208"/>
      <c r="B9" s="208"/>
      <c r="C9" s="208"/>
      <c r="D9" s="208"/>
      <c r="E9" s="208"/>
      <c r="F9" s="28"/>
      <c r="G9" s="144"/>
      <c r="H9" s="145"/>
      <c r="I9" s="145"/>
    </row>
    <row r="10" spans="1:9" s="9" customFormat="1" ht="13.5" customHeight="1" thickBot="1">
      <c r="A10" s="208"/>
      <c r="B10" s="208"/>
      <c r="C10" s="208"/>
      <c r="D10" s="208"/>
      <c r="E10" s="208"/>
      <c r="F10" s="209" t="s">
        <v>3</v>
      </c>
      <c r="G10" s="210"/>
      <c r="H10" s="146" t="s">
        <v>261</v>
      </c>
      <c r="I10" s="146" t="s">
        <v>261</v>
      </c>
    </row>
    <row r="11" spans="1:9" s="9" customFormat="1" ht="20" customHeight="1">
      <c r="A11" s="208"/>
      <c r="B11" s="208"/>
      <c r="C11" s="208"/>
      <c r="D11" s="208"/>
      <c r="E11" s="208"/>
      <c r="F11" s="29" t="s">
        <v>88</v>
      </c>
      <c r="G11" s="110"/>
      <c r="H11" s="58">
        <v>25076044</v>
      </c>
      <c r="I11" s="58">
        <v>25989337</v>
      </c>
    </row>
    <row r="12" spans="1:9" s="9" customFormat="1" ht="20" customHeight="1">
      <c r="A12" s="208"/>
      <c r="B12" s="208"/>
      <c r="C12" s="208"/>
      <c r="D12" s="208"/>
      <c r="E12" s="208"/>
      <c r="F12" s="108" t="s">
        <v>122</v>
      </c>
      <c r="G12" s="116"/>
      <c r="H12" s="107" t="s">
        <v>260</v>
      </c>
      <c r="I12" s="107" t="s">
        <v>274</v>
      </c>
    </row>
    <row r="13" spans="1:9" s="9" customFormat="1" ht="20" customHeight="1" thickBot="1">
      <c r="A13" s="208"/>
      <c r="B13" s="208"/>
      <c r="C13" s="208"/>
      <c r="D13" s="208"/>
      <c r="E13" s="208"/>
      <c r="F13" s="191" t="s">
        <v>123</v>
      </c>
      <c r="G13" s="189"/>
      <c r="H13" s="190">
        <v>2014</v>
      </c>
      <c r="I13" s="190">
        <v>2015</v>
      </c>
    </row>
    <row r="14" spans="1:9" s="9" customFormat="1" ht="6" customHeight="1" thickBot="1">
      <c r="A14" s="211"/>
      <c r="B14" s="208"/>
      <c r="C14" s="208"/>
      <c r="D14" s="208"/>
      <c r="E14" s="208"/>
      <c r="F14" s="208"/>
      <c r="G14" s="57"/>
      <c r="H14" s="44"/>
      <c r="I14" s="186"/>
    </row>
    <row r="15" spans="1:9" s="8" customFormat="1" ht="27" customHeight="1" thickBot="1">
      <c r="A15" s="202" t="s">
        <v>89</v>
      </c>
      <c r="B15" s="203"/>
      <c r="C15" s="204"/>
      <c r="D15" s="121" t="s">
        <v>1</v>
      </c>
      <c r="E15" s="200" t="s">
        <v>86</v>
      </c>
      <c r="F15" s="201"/>
      <c r="G15" s="187" t="s">
        <v>58</v>
      </c>
      <c r="H15" s="188" t="s">
        <v>262</v>
      </c>
      <c r="I15" s="188" t="s">
        <v>262</v>
      </c>
    </row>
    <row r="16" spans="1:9" s="11" customFormat="1" ht="24" customHeight="1" thickBot="1">
      <c r="A16" s="212" t="s">
        <v>188</v>
      </c>
      <c r="B16" s="122" t="s">
        <v>41</v>
      </c>
      <c r="C16" s="142" t="s">
        <v>136</v>
      </c>
      <c r="D16" s="181">
        <v>1</v>
      </c>
      <c r="E16" s="198" t="s">
        <v>137</v>
      </c>
      <c r="F16" s="199"/>
      <c r="G16" s="39"/>
      <c r="H16" s="35" t="s">
        <v>0</v>
      </c>
      <c r="I16" s="35" t="s">
        <v>0</v>
      </c>
    </row>
    <row r="17" spans="1:9" s="11" customFormat="1" ht="48" customHeight="1" thickBot="1">
      <c r="A17" s="213"/>
      <c r="B17" s="122" t="s">
        <v>42</v>
      </c>
      <c r="C17" s="142" t="s">
        <v>164</v>
      </c>
      <c r="D17" s="182">
        <v>2</v>
      </c>
      <c r="E17" s="192" t="s">
        <v>138</v>
      </c>
      <c r="F17" s="193"/>
      <c r="G17" s="40"/>
      <c r="H17" s="36" t="s">
        <v>0</v>
      </c>
      <c r="I17" s="36" t="s">
        <v>0</v>
      </c>
    </row>
    <row r="18" spans="1:9" s="11" customFormat="1" ht="24" customHeight="1" thickBot="1">
      <c r="A18" s="213"/>
      <c r="B18" s="122" t="s">
        <v>43</v>
      </c>
      <c r="C18" s="142" t="s">
        <v>165</v>
      </c>
      <c r="D18" s="182">
        <v>3</v>
      </c>
      <c r="E18" s="192" t="s">
        <v>160</v>
      </c>
      <c r="F18" s="193"/>
      <c r="G18" s="40"/>
      <c r="H18" s="36" t="s">
        <v>0</v>
      </c>
      <c r="I18" s="36" t="s">
        <v>0</v>
      </c>
    </row>
    <row r="19" spans="1:9" s="11" customFormat="1" ht="24" customHeight="1" thickBot="1">
      <c r="A19" s="213"/>
      <c r="B19" s="122" t="s">
        <v>44</v>
      </c>
      <c r="C19" s="142" t="s">
        <v>166</v>
      </c>
      <c r="D19" s="182">
        <v>4</v>
      </c>
      <c r="E19" s="192" t="s">
        <v>139</v>
      </c>
      <c r="F19" s="193"/>
      <c r="G19" s="40"/>
      <c r="H19" s="36" t="s">
        <v>0</v>
      </c>
      <c r="I19" s="36" t="s">
        <v>0</v>
      </c>
    </row>
    <row r="20" spans="1:9" s="11" customFormat="1" ht="26" customHeight="1" thickBot="1">
      <c r="A20" s="214"/>
      <c r="B20" s="122" t="s">
        <v>45</v>
      </c>
      <c r="C20" s="142" t="s">
        <v>167</v>
      </c>
      <c r="D20" s="183">
        <v>5</v>
      </c>
      <c r="E20" s="194" t="s">
        <v>140</v>
      </c>
      <c r="F20" s="195"/>
      <c r="G20" s="43"/>
      <c r="H20" s="125" t="s">
        <v>0</v>
      </c>
      <c r="I20" s="125" t="s">
        <v>0</v>
      </c>
    </row>
    <row r="21" spans="1:9" s="11" customFormat="1" ht="36" customHeight="1" thickBot="1">
      <c r="A21" s="215" t="s">
        <v>187</v>
      </c>
      <c r="B21" s="122" t="s">
        <v>46</v>
      </c>
      <c r="C21" s="142" t="s">
        <v>168</v>
      </c>
      <c r="D21" s="181">
        <v>6</v>
      </c>
      <c r="E21" s="224" t="s">
        <v>141</v>
      </c>
      <c r="F21" s="225"/>
      <c r="G21" s="39"/>
      <c r="H21" s="35" t="s">
        <v>0</v>
      </c>
      <c r="I21" s="35" t="s">
        <v>0</v>
      </c>
    </row>
    <row r="22" spans="1:9" s="11" customFormat="1" ht="36" customHeight="1" thickBot="1">
      <c r="A22" s="216"/>
      <c r="B22" s="122" t="s">
        <v>47</v>
      </c>
      <c r="C22" s="142" t="s">
        <v>169</v>
      </c>
      <c r="D22" s="182">
        <v>7</v>
      </c>
      <c r="E22" s="192" t="s">
        <v>142</v>
      </c>
      <c r="F22" s="193"/>
      <c r="G22" s="40"/>
      <c r="H22" s="36" t="s">
        <v>2</v>
      </c>
      <c r="I22" s="36" t="s">
        <v>0</v>
      </c>
    </row>
    <row r="23" spans="1:9" s="11" customFormat="1" ht="23.5" customHeight="1" thickBot="1">
      <c r="A23" s="216"/>
      <c r="B23" s="122" t="s">
        <v>48</v>
      </c>
      <c r="C23" s="142" t="s">
        <v>170</v>
      </c>
      <c r="D23" s="182">
        <v>8</v>
      </c>
      <c r="E23" s="192" t="s">
        <v>143</v>
      </c>
      <c r="F23" s="193"/>
      <c r="G23" s="40"/>
      <c r="H23" s="36" t="s">
        <v>0</v>
      </c>
      <c r="I23" s="36" t="s">
        <v>0</v>
      </c>
    </row>
    <row r="24" spans="1:9" s="11" customFormat="1" ht="24" customHeight="1" thickBot="1">
      <c r="A24" s="216"/>
      <c r="B24" s="122" t="s">
        <v>49</v>
      </c>
      <c r="C24" s="142" t="s">
        <v>171</v>
      </c>
      <c r="D24" s="182">
        <v>9</v>
      </c>
      <c r="E24" s="192" t="s">
        <v>144</v>
      </c>
      <c r="F24" s="193"/>
      <c r="G24" s="40"/>
      <c r="H24" s="36" t="s">
        <v>2</v>
      </c>
      <c r="I24" s="36" t="s">
        <v>0</v>
      </c>
    </row>
    <row r="25" spans="1:9" s="11" customFormat="1" ht="23.5" customHeight="1" thickBot="1">
      <c r="A25" s="216"/>
      <c r="B25" s="122" t="s">
        <v>50</v>
      </c>
      <c r="C25" s="142" t="s">
        <v>172</v>
      </c>
      <c r="D25" s="182">
        <v>10</v>
      </c>
      <c r="E25" s="192" t="s">
        <v>145</v>
      </c>
      <c r="F25" s="193"/>
      <c r="G25" s="40"/>
      <c r="H25" s="36" t="s">
        <v>0</v>
      </c>
      <c r="I25" s="36" t="s">
        <v>0</v>
      </c>
    </row>
    <row r="26" spans="1:9" s="11" customFormat="1" ht="23.5" customHeight="1" thickBot="1">
      <c r="A26" s="216"/>
      <c r="B26" s="122" t="s">
        <v>192</v>
      </c>
      <c r="C26" s="142" t="s">
        <v>173</v>
      </c>
      <c r="D26" s="182">
        <v>11</v>
      </c>
      <c r="E26" s="192" t="s">
        <v>146</v>
      </c>
      <c r="F26" s="193"/>
      <c r="G26" s="40"/>
      <c r="H26" s="36" t="s">
        <v>0</v>
      </c>
      <c r="I26" s="36" t="s">
        <v>0</v>
      </c>
    </row>
    <row r="27" spans="1:9" s="11" customFormat="1" ht="24" customHeight="1" thickBot="1">
      <c r="A27" s="216"/>
      <c r="B27" s="122" t="s">
        <v>193</v>
      </c>
      <c r="C27" s="142" t="s">
        <v>174</v>
      </c>
      <c r="D27" s="182">
        <v>12</v>
      </c>
      <c r="E27" s="192" t="s">
        <v>147</v>
      </c>
      <c r="F27" s="193"/>
      <c r="G27" s="40"/>
      <c r="H27" s="36" t="s">
        <v>0</v>
      </c>
      <c r="I27" s="36" t="s">
        <v>0</v>
      </c>
    </row>
    <row r="28" spans="1:9" s="11" customFormat="1" ht="36" customHeight="1" thickBot="1">
      <c r="A28" s="216"/>
      <c r="B28" s="122" t="s">
        <v>194</v>
      </c>
      <c r="C28" s="142" t="s">
        <v>175</v>
      </c>
      <c r="D28" s="182">
        <v>13</v>
      </c>
      <c r="E28" s="192" t="s">
        <v>148</v>
      </c>
      <c r="F28" s="193"/>
      <c r="G28" s="40"/>
      <c r="H28" s="36" t="s">
        <v>0</v>
      </c>
      <c r="I28" s="36" t="s">
        <v>0</v>
      </c>
    </row>
    <row r="29" spans="1:9" s="11" customFormat="1" ht="24" customHeight="1" thickBot="1">
      <c r="A29" s="216"/>
      <c r="B29" s="122" t="s">
        <v>195</v>
      </c>
      <c r="C29" s="142" t="s">
        <v>176</v>
      </c>
      <c r="D29" s="182">
        <v>14</v>
      </c>
      <c r="E29" s="205" t="s">
        <v>149</v>
      </c>
      <c r="F29" s="206"/>
      <c r="G29" s="40"/>
      <c r="H29" s="36" t="s">
        <v>0</v>
      </c>
      <c r="I29" s="36" t="s">
        <v>0</v>
      </c>
    </row>
    <row r="30" spans="1:9" s="11" customFormat="1" ht="24" customHeight="1" thickBot="1">
      <c r="A30" s="216"/>
      <c r="B30" s="122" t="s">
        <v>196</v>
      </c>
      <c r="C30" s="142" t="s">
        <v>177</v>
      </c>
      <c r="D30" s="182">
        <v>15</v>
      </c>
      <c r="E30" s="205" t="s">
        <v>150</v>
      </c>
      <c r="F30" s="206"/>
      <c r="G30" s="40"/>
      <c r="H30" s="36" t="s">
        <v>2</v>
      </c>
      <c r="I30" s="36" t="s">
        <v>0</v>
      </c>
    </row>
    <row r="31" spans="1:9" s="11" customFormat="1" ht="24" customHeight="1" thickBot="1">
      <c r="A31" s="216"/>
      <c r="B31" s="122" t="s">
        <v>197</v>
      </c>
      <c r="C31" s="142" t="s">
        <v>178</v>
      </c>
      <c r="D31" s="182">
        <v>16</v>
      </c>
      <c r="E31" s="192" t="s">
        <v>151</v>
      </c>
      <c r="F31" s="193"/>
      <c r="G31" s="40"/>
      <c r="H31" s="36" t="s">
        <v>2</v>
      </c>
      <c r="I31" s="36" t="s">
        <v>0</v>
      </c>
    </row>
    <row r="32" spans="1:9" s="11" customFormat="1" ht="24" customHeight="1" thickBot="1">
      <c r="A32" s="217"/>
      <c r="B32" s="122" t="s">
        <v>198</v>
      </c>
      <c r="C32" s="142" t="s">
        <v>179</v>
      </c>
      <c r="D32" s="183">
        <v>17</v>
      </c>
      <c r="E32" s="194" t="s">
        <v>152</v>
      </c>
      <c r="F32" s="195"/>
      <c r="G32" s="126"/>
      <c r="H32" s="127" t="s">
        <v>0</v>
      </c>
      <c r="I32" s="127" t="s">
        <v>0</v>
      </c>
    </row>
    <row r="33" spans="1:9" s="11" customFormat="1" ht="24" customHeight="1" thickBot="1">
      <c r="A33" s="218" t="s">
        <v>308</v>
      </c>
      <c r="B33" s="122" t="s">
        <v>199</v>
      </c>
      <c r="C33" s="142" t="s">
        <v>172</v>
      </c>
      <c r="D33" s="181">
        <v>18</v>
      </c>
      <c r="E33" s="198" t="s">
        <v>153</v>
      </c>
      <c r="F33" s="199"/>
      <c r="G33" s="42"/>
      <c r="H33" s="37" t="s">
        <v>0</v>
      </c>
      <c r="I33" s="37" t="s">
        <v>0</v>
      </c>
    </row>
    <row r="34" spans="1:9" s="11" customFormat="1" ht="24" customHeight="1" thickBot="1">
      <c r="A34" s="219"/>
      <c r="B34" s="122" t="s">
        <v>200</v>
      </c>
      <c r="C34" s="142" t="s">
        <v>180</v>
      </c>
      <c r="D34" s="182">
        <v>19</v>
      </c>
      <c r="E34" s="192" t="s">
        <v>154</v>
      </c>
      <c r="F34" s="193"/>
      <c r="G34" s="128"/>
      <c r="H34" s="34" t="s">
        <v>0</v>
      </c>
      <c r="I34" s="34" t="s">
        <v>0</v>
      </c>
    </row>
    <row r="35" spans="1:9" s="11" customFormat="1" ht="24" customHeight="1" thickBot="1">
      <c r="A35" s="219"/>
      <c r="B35" s="122" t="s">
        <v>201</v>
      </c>
      <c r="C35" s="142" t="s">
        <v>181</v>
      </c>
      <c r="D35" s="182">
        <v>20</v>
      </c>
      <c r="E35" s="192" t="s">
        <v>161</v>
      </c>
      <c r="F35" s="193"/>
      <c r="G35" s="128"/>
      <c r="H35" s="36" t="s">
        <v>0</v>
      </c>
      <c r="I35" s="36" t="s">
        <v>0</v>
      </c>
    </row>
    <row r="36" spans="1:9" s="11" customFormat="1" ht="36" customHeight="1" thickBot="1">
      <c r="A36" s="219"/>
      <c r="B36" s="122" t="s">
        <v>202</v>
      </c>
      <c r="C36" s="142" t="s">
        <v>182</v>
      </c>
      <c r="D36" s="182">
        <v>21</v>
      </c>
      <c r="E36" s="192" t="s">
        <v>155</v>
      </c>
      <c r="F36" s="193"/>
      <c r="G36" s="128"/>
      <c r="H36" s="36" t="s">
        <v>0</v>
      </c>
      <c r="I36" s="36" t="s">
        <v>0</v>
      </c>
    </row>
    <row r="37" spans="1:9" s="11" customFormat="1" ht="24" customHeight="1" thickBot="1">
      <c r="A37" s="219"/>
      <c r="B37" s="122" t="s">
        <v>203</v>
      </c>
      <c r="C37" s="142" t="s">
        <v>177</v>
      </c>
      <c r="D37" s="182">
        <v>22</v>
      </c>
      <c r="E37" s="192" t="s">
        <v>156</v>
      </c>
      <c r="F37" s="193"/>
      <c r="G37" s="128"/>
      <c r="H37" s="36" t="s">
        <v>0</v>
      </c>
      <c r="I37" s="36" t="s">
        <v>0</v>
      </c>
    </row>
    <row r="38" spans="1:9" s="11" customFormat="1" ht="24" customHeight="1" thickBot="1">
      <c r="A38" s="219"/>
      <c r="B38" s="122" t="s">
        <v>204</v>
      </c>
      <c r="C38" s="142" t="s">
        <v>178</v>
      </c>
      <c r="D38" s="182">
        <v>23</v>
      </c>
      <c r="E38" s="192" t="s">
        <v>162</v>
      </c>
      <c r="F38" s="193"/>
      <c r="G38" s="128"/>
      <c r="H38" s="36" t="s">
        <v>0</v>
      </c>
      <c r="I38" s="36" t="s">
        <v>0</v>
      </c>
    </row>
    <row r="39" spans="1:9" s="11" customFormat="1" ht="24" customHeight="1" thickBot="1">
      <c r="A39" s="220"/>
      <c r="B39" s="122" t="s">
        <v>205</v>
      </c>
      <c r="C39" s="142" t="s">
        <v>183</v>
      </c>
      <c r="D39" s="183">
        <v>24</v>
      </c>
      <c r="E39" s="192" t="s">
        <v>163</v>
      </c>
      <c r="F39" s="193"/>
      <c r="G39" s="128"/>
      <c r="H39" s="36" t="s">
        <v>0</v>
      </c>
      <c r="I39" s="36" t="s">
        <v>0</v>
      </c>
    </row>
    <row r="40" spans="1:9" s="11" customFormat="1" ht="36" customHeight="1" thickBot="1">
      <c r="A40" s="221" t="s">
        <v>309</v>
      </c>
      <c r="B40" s="122" t="s">
        <v>206</v>
      </c>
      <c r="C40" s="142" t="s">
        <v>184</v>
      </c>
      <c r="D40" s="181">
        <v>25</v>
      </c>
      <c r="E40" s="192" t="s">
        <v>157</v>
      </c>
      <c r="F40" s="193"/>
      <c r="G40" s="128"/>
      <c r="H40" s="36" t="s">
        <v>2</v>
      </c>
      <c r="I40" s="36" t="s">
        <v>0</v>
      </c>
    </row>
    <row r="41" spans="1:9" s="11" customFormat="1" ht="24" customHeight="1" thickBot="1">
      <c r="A41" s="222"/>
      <c r="B41" s="122" t="s">
        <v>207</v>
      </c>
      <c r="C41" s="142" t="s">
        <v>185</v>
      </c>
      <c r="D41" s="182">
        <v>26</v>
      </c>
      <c r="E41" s="192" t="s">
        <v>158</v>
      </c>
      <c r="F41" s="193"/>
      <c r="G41" s="128"/>
      <c r="H41" s="36" t="s">
        <v>0</v>
      </c>
      <c r="I41" s="36" t="s">
        <v>0</v>
      </c>
    </row>
    <row r="42" spans="1:9" s="11" customFormat="1" ht="24" customHeight="1" thickBot="1">
      <c r="A42" s="223"/>
      <c r="B42" s="123" t="s">
        <v>208</v>
      </c>
      <c r="C42" s="123" t="s">
        <v>186</v>
      </c>
      <c r="D42" s="183">
        <v>27</v>
      </c>
      <c r="E42" s="194" t="s">
        <v>159</v>
      </c>
      <c r="F42" s="195"/>
      <c r="G42" s="126"/>
      <c r="H42" s="125" t="s">
        <v>0</v>
      </c>
      <c r="I42" s="125" t="s">
        <v>0</v>
      </c>
    </row>
    <row r="43" spans="1:9"/>
    <row r="44" spans="1:9"/>
    <row r="45" spans="1:9"/>
    <row r="46" spans="1:9"/>
    <row r="47" spans="1:9"/>
    <row r="48" spans="1:9"/>
    <row r="49"/>
    <row r="50"/>
    <row r="51"/>
    <row r="52"/>
    <row r="53"/>
    <row r="54"/>
    <row r="55"/>
    <row r="56"/>
    <row r="57"/>
    <row r="58"/>
    <row r="59"/>
    <row r="60"/>
    <row r="61"/>
    <row r="62"/>
    <row r="63"/>
    <row r="64"/>
    <row r="65"/>
    <row r="66"/>
    <row r="67"/>
    <row r="68"/>
    <row r="69"/>
    <row r="70"/>
    <row r="71"/>
    <row r="72"/>
    <row r="73"/>
    <row r="74"/>
    <row r="75" hidden="1"/>
    <row r="76" hidden="1"/>
    <row r="77" hidden="1"/>
    <row r="78" hidden="1"/>
    <row r="79" hidden="1"/>
    <row r="80" hidden="1"/>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sheetData>
  <sheetProtection algorithmName="SHA-512" hashValue="dz7dyMKL+Ro6rcXHb6+8J+/yTL4afSDwyStFHlnFDu6FfXGZaaR2ZK4Z7Ly5xVHYu6SfNDc3/BRR/uGQkgiygg==" saltValue="AF1vNrUXo3QyGwn90x8QlQ==" spinCount="100000" sheet="1" objects="1" scenarios="1" formatCells="0"/>
  <mergeCells count="38">
    <mergeCell ref="A33:A39"/>
    <mergeCell ref="A40:A42"/>
    <mergeCell ref="E20:F20"/>
    <mergeCell ref="E22:F22"/>
    <mergeCell ref="E24:F24"/>
    <mergeCell ref="E25:F25"/>
    <mergeCell ref="E21:F21"/>
    <mergeCell ref="E32:F32"/>
    <mergeCell ref="E33:F33"/>
    <mergeCell ref="E36:F36"/>
    <mergeCell ref="E28:F28"/>
    <mergeCell ref="E27:F27"/>
    <mergeCell ref="E18:F18"/>
    <mergeCell ref="A16:A20"/>
    <mergeCell ref="A21:A32"/>
    <mergeCell ref="A1:G1"/>
    <mergeCell ref="E34:F34"/>
    <mergeCell ref="E35:F35"/>
    <mergeCell ref="E16:F16"/>
    <mergeCell ref="E15:F15"/>
    <mergeCell ref="E17:F17"/>
    <mergeCell ref="E19:F19"/>
    <mergeCell ref="A15:C15"/>
    <mergeCell ref="E29:F29"/>
    <mergeCell ref="A3:F3"/>
    <mergeCell ref="E23:F23"/>
    <mergeCell ref="E26:F26"/>
    <mergeCell ref="A4:E13"/>
    <mergeCell ref="F10:G10"/>
    <mergeCell ref="A14:F14"/>
    <mergeCell ref="E30:F30"/>
    <mergeCell ref="E31:F31"/>
    <mergeCell ref="E42:F42"/>
    <mergeCell ref="E37:F37"/>
    <mergeCell ref="E38:F38"/>
    <mergeCell ref="E39:F39"/>
    <mergeCell ref="E40:F40"/>
    <mergeCell ref="E41:F41"/>
  </mergeCells>
  <phoneticPr fontId="5" type="noConversion"/>
  <dataValidations count="2">
    <dataValidation type="list" allowBlank="1" showInputMessage="1" showErrorMessage="1" errorTitle="Invalid Input" error="The value of input must be one of given values." sqref="G16:G126">
      <formula1>INDIRECT("item"&amp;$D16)</formula1>
    </dataValidation>
    <dataValidation type="list" allowBlank="1" showInputMessage="1" showErrorMessage="1" errorTitle="Invalid Input" error="The value of input must be one of given values." sqref="G13">
      <formula1>INDIRECT("listOfYear")</formula1>
    </dataValidation>
  </dataValidations>
  <pageMargins left="0.7" right="0.7" top="0.75" bottom="0.75" header="0.3" footer="0.3"/>
  <pageSetup paperSize="9" orientation="portrait" horizontalDpi="4294967295" verticalDpi="4294967295" r:id="rId1"/>
  <drawing r:id="rId2"/>
  <legacyDrawing r:id="rId3"/>
  <controls>
    <mc:AlternateContent xmlns:mc="http://schemas.openxmlformats.org/markup-compatibility/2006">
      <mc:Choice Requires="x14">
        <control shapeId="3199" r:id="rId4" name="CommandButton5">
          <controlPr defaultSize="0" autoFill="0" autoLine="0" r:id="rId5">
            <anchor>
              <from>
                <xdr:col>6</xdr:col>
                <xdr:colOff>1073150</xdr:colOff>
                <xdr:row>1</xdr:row>
                <xdr:rowOff>25400</xdr:rowOff>
              </from>
              <to>
                <xdr:col>6</xdr:col>
                <xdr:colOff>1441450</xdr:colOff>
                <xdr:row>1</xdr:row>
                <xdr:rowOff>311150</xdr:rowOff>
              </to>
            </anchor>
          </controlPr>
        </control>
      </mc:Choice>
      <mc:Fallback>
        <control shapeId="3199" r:id="rId4" name="CommandButton5"/>
      </mc:Fallback>
    </mc:AlternateContent>
    <mc:AlternateContent xmlns:mc="http://schemas.openxmlformats.org/markup-compatibility/2006">
      <mc:Choice Requires="x14">
        <control shapeId="3153" r:id="rId6" name="CommandButton4">
          <controlPr defaultSize="0" autoFill="0" autoLine="0" r:id="rId7">
            <anchor>
              <from>
                <xdr:col>5</xdr:col>
                <xdr:colOff>184150</xdr:colOff>
                <xdr:row>1</xdr:row>
                <xdr:rowOff>25400</xdr:rowOff>
              </from>
              <to>
                <xdr:col>5</xdr:col>
                <xdr:colOff>1517650</xdr:colOff>
                <xdr:row>1</xdr:row>
                <xdr:rowOff>311150</xdr:rowOff>
              </to>
            </anchor>
          </controlPr>
        </control>
      </mc:Choice>
      <mc:Fallback>
        <control shapeId="3153" r:id="rId6" name="CommandButton4"/>
      </mc:Fallback>
    </mc:AlternateContent>
    <mc:AlternateContent xmlns:mc="http://schemas.openxmlformats.org/markup-compatibility/2006">
      <mc:Choice Requires="x14">
        <control shapeId="3152" r:id="rId8" name="CommandButton3">
          <controlPr defaultSize="0" disabled="1" autoFill="0" autoLine="0" r:id="rId9">
            <anchor>
              <from>
                <xdr:col>4</xdr:col>
                <xdr:colOff>876300</xdr:colOff>
                <xdr:row>1</xdr:row>
                <xdr:rowOff>25400</xdr:rowOff>
              </from>
              <to>
                <xdr:col>5</xdr:col>
                <xdr:colOff>88900</xdr:colOff>
                <xdr:row>1</xdr:row>
                <xdr:rowOff>311150</xdr:rowOff>
              </to>
            </anchor>
          </controlPr>
        </control>
      </mc:Choice>
      <mc:Fallback>
        <control shapeId="3152" r:id="rId8" name="CommandButton3"/>
      </mc:Fallback>
    </mc:AlternateContent>
    <mc:AlternateContent xmlns:mc="http://schemas.openxmlformats.org/markup-compatibility/2006">
      <mc:Choice Requires="x14">
        <control shapeId="3151" r:id="rId10" name="CommandButton2">
          <controlPr defaultSize="0" disabled="1" autoFill="0" autoLine="0" r:id="rId11">
            <anchor>
              <from>
                <xdr:col>3</xdr:col>
                <xdr:colOff>25400</xdr:colOff>
                <xdr:row>1</xdr:row>
                <xdr:rowOff>25400</xdr:rowOff>
              </from>
              <to>
                <xdr:col>4</xdr:col>
                <xdr:colOff>781050</xdr:colOff>
                <xdr:row>1</xdr:row>
                <xdr:rowOff>311150</xdr:rowOff>
              </to>
            </anchor>
          </controlPr>
        </control>
      </mc:Choice>
      <mc:Fallback>
        <control shapeId="3151" r:id="rId10" name="CommandButton2"/>
      </mc:Fallback>
    </mc:AlternateContent>
    <mc:AlternateContent xmlns:mc="http://schemas.openxmlformats.org/markup-compatibility/2006">
      <mc:Choice Requires="x14">
        <control shapeId="3149" r:id="rId12" name="CommandButton1">
          <controlPr defaultSize="0" autoFill="0" autoLine="0" r:id="rId13">
            <anchor>
              <from>
                <xdr:col>0</xdr:col>
                <xdr:colOff>31750</xdr:colOff>
                <xdr:row>1</xdr:row>
                <xdr:rowOff>25400</xdr:rowOff>
              </from>
              <to>
                <xdr:col>2</xdr:col>
                <xdr:colOff>755650</xdr:colOff>
                <xdr:row>1</xdr:row>
                <xdr:rowOff>311150</xdr:rowOff>
              </to>
            </anchor>
          </controlPr>
        </control>
      </mc:Choice>
      <mc:Fallback>
        <control shapeId="3149" r:id="rId12" name="CommandButton1"/>
      </mc:Fallback>
    </mc:AlternateContent>
    <mc:AlternateContent xmlns:mc="http://schemas.openxmlformats.org/markup-compatibility/2006">
      <mc:Choice Requires="x14">
        <control shapeId="3178" r:id="rId14" name="ComboBox1">
          <controlPr defaultSize="0" autoLine="0" r:id="rId15">
            <anchor>
              <from>
                <xdr:col>5</xdr:col>
                <xdr:colOff>1606550</xdr:colOff>
                <xdr:row>1</xdr:row>
                <xdr:rowOff>25400</xdr:rowOff>
              </from>
              <to>
                <xdr:col>6</xdr:col>
                <xdr:colOff>1047750</xdr:colOff>
                <xdr:row>1</xdr:row>
                <xdr:rowOff>311150</xdr:rowOff>
              </to>
            </anchor>
          </controlPr>
        </control>
      </mc:Choice>
      <mc:Fallback>
        <control shapeId="3178" r:id="rId14"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563"/>
  <sheetViews>
    <sheetView zoomScale="80" zoomScaleNormal="80" workbookViewId="0">
      <selection activeCell="A6" sqref="A6"/>
    </sheetView>
  </sheetViews>
  <sheetFormatPr defaultColWidth="8.7265625" defaultRowHeight="12.9" customHeight="1"/>
  <cols>
    <col min="1" max="1" width="17.1796875" style="104" customWidth="1"/>
    <col min="2" max="29" width="10.54296875" style="13" customWidth="1"/>
    <col min="30" max="16384" width="8.7265625" style="14"/>
  </cols>
  <sheetData>
    <row r="1" spans="1:32" s="115" customFormat="1" ht="12.9" customHeight="1">
      <c r="A1" s="112" t="s">
        <v>130</v>
      </c>
      <c r="B1" s="113">
        <v>1</v>
      </c>
      <c r="C1" s="113">
        <v>2</v>
      </c>
      <c r="D1" s="113">
        <v>3</v>
      </c>
      <c r="E1" s="113">
        <v>4</v>
      </c>
      <c r="F1" s="113">
        <v>5</v>
      </c>
      <c r="G1" s="113">
        <v>6</v>
      </c>
      <c r="H1" s="113">
        <v>7</v>
      </c>
      <c r="I1" s="113">
        <v>8</v>
      </c>
      <c r="J1" s="113">
        <v>9</v>
      </c>
      <c r="K1" s="113">
        <v>10</v>
      </c>
      <c r="L1" s="113">
        <v>11</v>
      </c>
      <c r="M1" s="113">
        <v>12</v>
      </c>
      <c r="N1" s="140">
        <v>13</v>
      </c>
      <c r="O1" s="140">
        <v>14</v>
      </c>
      <c r="P1" s="140">
        <v>15</v>
      </c>
      <c r="Q1" s="140">
        <v>16</v>
      </c>
      <c r="R1" s="140">
        <v>17</v>
      </c>
      <c r="S1" s="140">
        <v>18</v>
      </c>
      <c r="T1" s="140">
        <v>19</v>
      </c>
      <c r="U1" s="140">
        <v>20</v>
      </c>
      <c r="V1" s="140">
        <v>21</v>
      </c>
      <c r="W1" s="140">
        <v>22</v>
      </c>
      <c r="X1" s="140">
        <v>23</v>
      </c>
      <c r="Y1" s="140">
        <v>24</v>
      </c>
      <c r="Z1" s="140">
        <v>25</v>
      </c>
      <c r="AA1" s="140">
        <v>26</v>
      </c>
      <c r="AB1" s="140">
        <v>27</v>
      </c>
      <c r="AC1" s="113"/>
      <c r="AD1" s="113"/>
      <c r="AE1" s="114"/>
      <c r="AF1" s="114"/>
    </row>
    <row r="2" spans="1:32" ht="12.9" customHeight="1">
      <c r="B2" s="12"/>
      <c r="C2" s="12"/>
      <c r="D2" s="12"/>
      <c r="E2" s="12"/>
      <c r="F2" s="12"/>
      <c r="G2" s="12"/>
      <c r="H2" s="12"/>
      <c r="I2" s="12"/>
      <c r="J2" s="12"/>
      <c r="K2" s="12"/>
      <c r="L2" s="12"/>
      <c r="M2" s="12"/>
      <c r="N2" s="141"/>
      <c r="O2" s="141"/>
      <c r="P2" s="141"/>
      <c r="Q2" s="141"/>
      <c r="R2" s="141"/>
      <c r="S2" s="12"/>
      <c r="T2" s="12"/>
      <c r="U2" s="12"/>
      <c r="V2" s="12"/>
      <c r="W2" s="12"/>
      <c r="X2" s="12"/>
      <c r="Y2" s="12"/>
      <c r="Z2" s="12"/>
      <c r="AA2" s="12"/>
      <c r="AB2" s="12"/>
      <c r="AC2" s="12"/>
      <c r="AD2" s="12"/>
      <c r="AE2" s="13"/>
      <c r="AF2" s="13"/>
    </row>
    <row r="3" spans="1:32" s="23" customFormat="1" ht="12.9" customHeight="1">
      <c r="A3" s="105"/>
      <c r="B3" s="20" t="s">
        <v>57</v>
      </c>
      <c r="C3" s="20" t="s">
        <v>57</v>
      </c>
      <c r="D3" s="21"/>
      <c r="E3" s="20" t="s">
        <v>57</v>
      </c>
      <c r="F3" s="20" t="s">
        <v>57</v>
      </c>
      <c r="G3" s="20" t="s">
        <v>57</v>
      </c>
      <c r="H3" s="20"/>
      <c r="I3" s="20" t="s">
        <v>57</v>
      </c>
      <c r="J3" s="20" t="s">
        <v>57</v>
      </c>
      <c r="K3" s="21"/>
      <c r="L3" s="21"/>
      <c r="M3" s="21"/>
      <c r="N3" s="21"/>
      <c r="O3" s="20"/>
      <c r="P3" s="20"/>
      <c r="Q3" s="20" t="s">
        <v>57</v>
      </c>
      <c r="R3" s="20" t="s">
        <v>57</v>
      </c>
      <c r="S3" s="21"/>
      <c r="T3" s="21"/>
      <c r="U3" s="21"/>
      <c r="V3" s="21"/>
      <c r="W3" s="21"/>
      <c r="X3" s="21"/>
      <c r="Y3" s="21"/>
      <c r="Z3" s="21"/>
      <c r="AA3" s="21"/>
      <c r="AB3" s="21"/>
      <c r="AC3" s="21"/>
      <c r="AD3" s="21"/>
      <c r="AE3" s="22"/>
      <c r="AF3" s="22"/>
    </row>
    <row r="4" spans="1:32" s="17" customFormat="1" ht="12.9" customHeight="1">
      <c r="A4" s="106" t="str">
        <f ca="1">TEXT(YEAR(NOW()),0)</f>
        <v>2015</v>
      </c>
      <c r="B4" s="15" t="s">
        <v>0</v>
      </c>
      <c r="C4" s="15" t="s">
        <v>0</v>
      </c>
      <c r="D4" s="15" t="s">
        <v>0</v>
      </c>
      <c r="E4" s="15" t="s">
        <v>0</v>
      </c>
      <c r="F4" s="15" t="s">
        <v>0</v>
      </c>
      <c r="G4" s="15" t="s">
        <v>0</v>
      </c>
      <c r="H4" s="15" t="s">
        <v>0</v>
      </c>
      <c r="I4" s="15" t="s">
        <v>0</v>
      </c>
      <c r="J4" s="15" t="s">
        <v>0</v>
      </c>
      <c r="K4" s="15" t="s">
        <v>0</v>
      </c>
      <c r="L4" s="15" t="s">
        <v>0</v>
      </c>
      <c r="M4" s="15" t="s">
        <v>0</v>
      </c>
      <c r="N4" s="15" t="s">
        <v>0</v>
      </c>
      <c r="O4" s="15" t="s">
        <v>0</v>
      </c>
      <c r="P4" s="15" t="s">
        <v>0</v>
      </c>
      <c r="Q4" s="15" t="s">
        <v>0</v>
      </c>
      <c r="R4" s="15" t="s">
        <v>0</v>
      </c>
      <c r="S4" s="15" t="s">
        <v>0</v>
      </c>
      <c r="T4" s="15" t="s">
        <v>0</v>
      </c>
      <c r="U4" s="15" t="s">
        <v>0</v>
      </c>
      <c r="V4" s="15" t="s">
        <v>0</v>
      </c>
      <c r="W4" s="15" t="s">
        <v>0</v>
      </c>
      <c r="X4" s="15" t="s">
        <v>0</v>
      </c>
      <c r="Y4" s="15" t="s">
        <v>0</v>
      </c>
      <c r="Z4" s="15" t="s">
        <v>0</v>
      </c>
      <c r="AA4" s="15" t="s">
        <v>0</v>
      </c>
      <c r="AB4" s="15" t="s">
        <v>0</v>
      </c>
      <c r="AC4" s="15"/>
      <c r="AD4" s="15"/>
      <c r="AE4" s="16"/>
      <c r="AF4" s="16"/>
    </row>
    <row r="5" spans="1:32" s="17" customFormat="1" ht="39">
      <c r="A5" s="106" t="str">
        <f ca="1">TEXT(A4-1,0)</f>
        <v>2014</v>
      </c>
      <c r="B5" s="18" t="s">
        <v>2</v>
      </c>
      <c r="C5" s="18" t="s">
        <v>2</v>
      </c>
      <c r="D5" s="18" t="s">
        <v>2</v>
      </c>
      <c r="E5" s="18" t="s">
        <v>2</v>
      </c>
      <c r="F5" s="18" t="s">
        <v>2</v>
      </c>
      <c r="G5" s="18" t="s">
        <v>2</v>
      </c>
      <c r="H5" s="18" t="s">
        <v>2</v>
      </c>
      <c r="I5" s="18" t="s">
        <v>2</v>
      </c>
      <c r="J5" s="18" t="s">
        <v>2</v>
      </c>
      <c r="K5" s="18" t="s">
        <v>2</v>
      </c>
      <c r="L5" s="18" t="s">
        <v>2</v>
      </c>
      <c r="M5" s="18" t="s">
        <v>2</v>
      </c>
      <c r="N5" s="18" t="s">
        <v>2</v>
      </c>
      <c r="O5" s="18" t="s">
        <v>2</v>
      </c>
      <c r="P5" s="18" t="s">
        <v>2</v>
      </c>
      <c r="Q5" s="18" t="s">
        <v>2</v>
      </c>
      <c r="R5" s="18" t="s">
        <v>2</v>
      </c>
      <c r="S5" s="18" t="s">
        <v>2</v>
      </c>
      <c r="T5" s="18" t="s">
        <v>2</v>
      </c>
      <c r="U5" s="18" t="s">
        <v>2</v>
      </c>
      <c r="V5" s="18" t="s">
        <v>2</v>
      </c>
      <c r="W5" s="18" t="s">
        <v>2</v>
      </c>
      <c r="X5" s="18" t="s">
        <v>2</v>
      </c>
      <c r="Y5" s="18" t="s">
        <v>2</v>
      </c>
      <c r="Z5" s="18" t="s">
        <v>2</v>
      </c>
      <c r="AA5" s="18" t="s">
        <v>2</v>
      </c>
      <c r="AB5" s="18" t="s">
        <v>2</v>
      </c>
      <c r="AC5" s="18"/>
      <c r="AD5" s="18"/>
      <c r="AE5" s="18"/>
      <c r="AF5" s="16"/>
    </row>
    <row r="6" spans="1:32" s="17" customFormat="1" ht="26.15" customHeight="1">
      <c r="A6" s="106" t="str">
        <f t="shared" ref="A6:A59" ca="1" si="0">TEXT(A5-1,0)</f>
        <v>2013</v>
      </c>
      <c r="B6" s="19"/>
      <c r="C6" s="19"/>
      <c r="D6" s="19" t="s">
        <v>55</v>
      </c>
      <c r="E6" s="19"/>
      <c r="F6" s="19"/>
      <c r="G6" s="19" t="s">
        <v>55</v>
      </c>
      <c r="H6" s="19"/>
      <c r="I6" s="19"/>
      <c r="J6" s="19" t="s">
        <v>55</v>
      </c>
      <c r="K6" s="19" t="s">
        <v>55</v>
      </c>
      <c r="L6" s="19" t="s">
        <v>55</v>
      </c>
      <c r="M6" s="19" t="s">
        <v>55</v>
      </c>
      <c r="N6" s="19" t="s">
        <v>55</v>
      </c>
      <c r="O6" s="19" t="s">
        <v>55</v>
      </c>
      <c r="P6" s="19"/>
      <c r="Q6" s="19" t="s">
        <v>55</v>
      </c>
      <c r="R6" s="19" t="s">
        <v>55</v>
      </c>
      <c r="S6" s="19" t="s">
        <v>55</v>
      </c>
      <c r="T6" s="19" t="s">
        <v>55</v>
      </c>
      <c r="U6" s="19" t="s">
        <v>55</v>
      </c>
      <c r="V6" s="19" t="s">
        <v>55</v>
      </c>
      <c r="W6" s="19" t="s">
        <v>55</v>
      </c>
      <c r="X6" s="19" t="s">
        <v>55</v>
      </c>
      <c r="Y6" s="19" t="s">
        <v>55</v>
      </c>
      <c r="Z6" s="19" t="s">
        <v>55</v>
      </c>
      <c r="AA6" s="19" t="s">
        <v>55</v>
      </c>
      <c r="AB6" s="19" t="s">
        <v>55</v>
      </c>
      <c r="AC6" s="19"/>
      <c r="AD6" s="19"/>
      <c r="AE6" s="16"/>
      <c r="AF6" s="16"/>
    </row>
    <row r="7" spans="1:32" s="17" customFormat="1" ht="12.9" customHeight="1">
      <c r="A7" s="106" t="str">
        <f t="shared" ca="1" si="0"/>
        <v>2012</v>
      </c>
      <c r="B7" s="19"/>
      <c r="C7" s="19"/>
      <c r="D7" s="19"/>
      <c r="E7" s="18"/>
      <c r="F7" s="18"/>
      <c r="G7" s="19"/>
      <c r="H7" s="19"/>
      <c r="I7" s="19"/>
      <c r="J7" s="19"/>
      <c r="K7" s="19"/>
      <c r="L7" s="19"/>
      <c r="M7" s="19"/>
      <c r="N7" s="19"/>
      <c r="O7" s="19"/>
      <c r="P7" s="19"/>
      <c r="Q7" s="19"/>
      <c r="R7" s="18"/>
      <c r="S7" s="19"/>
      <c r="T7" s="19"/>
      <c r="U7" s="19"/>
      <c r="V7" s="19"/>
      <c r="W7" s="18"/>
      <c r="X7" s="19"/>
      <c r="Y7" s="19"/>
      <c r="Z7" s="19"/>
      <c r="AA7" s="19"/>
      <c r="AB7" s="19"/>
      <c r="AC7" s="19"/>
      <c r="AD7" s="19"/>
      <c r="AE7" s="16"/>
      <c r="AF7" s="16"/>
    </row>
    <row r="8" spans="1:32" s="17" customFormat="1" ht="12.9" customHeight="1">
      <c r="A8" s="106" t="str">
        <f t="shared" ca="1" si="0"/>
        <v>2011</v>
      </c>
      <c r="B8" s="19"/>
      <c r="C8" s="19"/>
      <c r="D8" s="19"/>
      <c r="E8" s="19"/>
      <c r="F8" s="19"/>
      <c r="G8" s="19"/>
      <c r="H8" s="19"/>
      <c r="I8" s="19"/>
      <c r="J8" s="19"/>
      <c r="K8" s="19"/>
      <c r="L8" s="19"/>
      <c r="M8" s="19"/>
      <c r="N8" s="19"/>
      <c r="O8" s="19"/>
      <c r="P8" s="19"/>
      <c r="Q8" s="19"/>
      <c r="R8" s="19"/>
      <c r="S8" s="19"/>
      <c r="T8" s="19"/>
      <c r="U8" s="19"/>
      <c r="V8" s="19"/>
      <c r="W8" s="16"/>
      <c r="X8" s="19"/>
      <c r="Y8" s="19"/>
      <c r="Z8" s="19"/>
      <c r="AA8" s="19"/>
      <c r="AB8" s="19"/>
      <c r="AC8" s="19"/>
      <c r="AD8" s="19"/>
      <c r="AE8" s="16"/>
      <c r="AF8" s="16"/>
    </row>
    <row r="9" spans="1:32" s="17" customFormat="1" ht="12.9" customHeight="1">
      <c r="A9" s="106" t="str">
        <f t="shared" ca="1" si="0"/>
        <v>2010</v>
      </c>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6"/>
      <c r="AF9" s="16"/>
    </row>
    <row r="10" spans="1:32" s="17" customFormat="1" ht="12.9" customHeight="1">
      <c r="A10" s="106" t="str">
        <f t="shared" ca="1" si="0"/>
        <v>2009</v>
      </c>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6"/>
      <c r="AF10" s="16"/>
    </row>
    <row r="11" spans="1:32" s="17" customFormat="1" ht="12.9" customHeight="1">
      <c r="A11" s="106" t="str">
        <f t="shared" ca="1" si="0"/>
        <v>2008</v>
      </c>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6"/>
      <c r="AF11" s="16"/>
    </row>
    <row r="12" spans="1:32" s="17" customFormat="1" ht="12.9" customHeight="1">
      <c r="A12" s="106" t="str">
        <f t="shared" ca="1" si="0"/>
        <v>2007</v>
      </c>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6"/>
      <c r="AF12" s="16"/>
    </row>
    <row r="13" spans="1:32" s="17" customFormat="1" ht="12.9" customHeight="1">
      <c r="A13" s="106" t="str">
        <f t="shared" ca="1" si="0"/>
        <v>2006</v>
      </c>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row>
    <row r="14" spans="1:32" s="17" customFormat="1" ht="12.9" customHeight="1">
      <c r="A14" s="106" t="str">
        <f t="shared" ca="1" si="0"/>
        <v>2005</v>
      </c>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row>
    <row r="15" spans="1:32" s="17" customFormat="1" ht="12.9" customHeight="1">
      <c r="A15" s="106" t="str">
        <f t="shared" ca="1" si="0"/>
        <v>2004</v>
      </c>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row>
    <row r="16" spans="1:32" s="17" customFormat="1" ht="12.9" customHeight="1">
      <c r="A16" s="106" t="str">
        <f t="shared" ca="1" si="0"/>
        <v>2003</v>
      </c>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row>
    <row r="17" spans="1:32" s="17" customFormat="1" ht="12.9" customHeight="1">
      <c r="A17" s="106" t="str">
        <f t="shared" ca="1" si="0"/>
        <v>2002</v>
      </c>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row>
    <row r="18" spans="1:32" s="17" customFormat="1" ht="12.9" customHeight="1">
      <c r="A18" s="106" t="str">
        <f t="shared" ca="1" si="0"/>
        <v>2001</v>
      </c>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row>
    <row r="19" spans="1:32" s="17" customFormat="1" ht="12.9" customHeight="1">
      <c r="A19" s="106" t="str">
        <f t="shared" ca="1" si="0"/>
        <v>2000</v>
      </c>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row>
    <row r="20" spans="1:32" s="17" customFormat="1" ht="12.9" customHeight="1">
      <c r="A20" s="106" t="str">
        <f t="shared" ca="1" si="0"/>
        <v>1999</v>
      </c>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row>
    <row r="21" spans="1:32" s="17" customFormat="1" ht="12.9" customHeight="1">
      <c r="A21" s="106" t="str">
        <f t="shared" ca="1" si="0"/>
        <v>1998</v>
      </c>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row>
    <row r="22" spans="1:32" s="17" customFormat="1" ht="12.9" customHeight="1">
      <c r="A22" s="106" t="str">
        <f t="shared" ca="1" si="0"/>
        <v>1997</v>
      </c>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row>
    <row r="23" spans="1:32" s="17" customFormat="1" ht="12.9" customHeight="1">
      <c r="A23" s="106" t="str">
        <f t="shared" ca="1" si="0"/>
        <v>1996</v>
      </c>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row>
    <row r="24" spans="1:32" s="17" customFormat="1" ht="12.9" customHeight="1">
      <c r="A24" s="106" t="str">
        <f t="shared" ca="1" si="0"/>
        <v>1995</v>
      </c>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row>
    <row r="25" spans="1:32" s="17" customFormat="1" ht="12.9" customHeight="1">
      <c r="A25" s="106" t="str">
        <f t="shared" ca="1" si="0"/>
        <v>1994</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row>
    <row r="26" spans="1:32" s="17" customFormat="1" ht="12.9" customHeight="1">
      <c r="A26" s="106" t="str">
        <f t="shared" ca="1" si="0"/>
        <v>1993</v>
      </c>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row>
    <row r="27" spans="1:32" s="17" customFormat="1" ht="12.9" customHeight="1">
      <c r="A27" s="106" t="str">
        <f t="shared" ca="1" si="0"/>
        <v>1992</v>
      </c>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row>
    <row r="28" spans="1:32" s="17" customFormat="1" ht="12.9" customHeight="1">
      <c r="A28" s="106" t="str">
        <f t="shared" ca="1" si="0"/>
        <v>1991</v>
      </c>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row>
    <row r="29" spans="1:32" s="17" customFormat="1" ht="12.9" customHeight="1">
      <c r="A29" s="106" t="str">
        <f t="shared" ca="1" si="0"/>
        <v>1990</v>
      </c>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row>
    <row r="30" spans="1:32" s="17" customFormat="1" ht="12.9" customHeight="1">
      <c r="A30" s="106" t="str">
        <f t="shared" ca="1" si="0"/>
        <v>1989</v>
      </c>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row>
    <row r="31" spans="1:32" s="17" customFormat="1" ht="12.9" customHeight="1">
      <c r="A31" s="106" t="str">
        <f t="shared" ca="1" si="0"/>
        <v>1988</v>
      </c>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row>
    <row r="32" spans="1:32" s="17" customFormat="1" ht="12.9" customHeight="1">
      <c r="A32" s="106" t="str">
        <f t="shared" ca="1" si="0"/>
        <v>1987</v>
      </c>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row>
    <row r="33" spans="1:32" s="17" customFormat="1" ht="12.9" customHeight="1">
      <c r="A33" s="106" t="str">
        <f t="shared" ca="1" si="0"/>
        <v>1986</v>
      </c>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row>
    <row r="34" spans="1:32" s="17" customFormat="1" ht="12.9" customHeight="1">
      <c r="A34" s="106" t="str">
        <f t="shared" ca="1" si="0"/>
        <v>1985</v>
      </c>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row>
    <row r="35" spans="1:32" s="17" customFormat="1" ht="12.9" customHeight="1">
      <c r="A35" s="106" t="str">
        <f t="shared" ca="1" si="0"/>
        <v>1984</v>
      </c>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row>
    <row r="36" spans="1:32" s="17" customFormat="1" ht="12.9" customHeight="1">
      <c r="A36" s="106" t="str">
        <f t="shared" ca="1" si="0"/>
        <v>1983</v>
      </c>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row>
    <row r="37" spans="1:32" s="17" customFormat="1" ht="12.9" customHeight="1">
      <c r="A37" s="106" t="str">
        <f t="shared" ca="1" si="0"/>
        <v>1982</v>
      </c>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row>
    <row r="38" spans="1:32" s="17" customFormat="1" ht="12.9" customHeight="1">
      <c r="A38" s="106" t="str">
        <f t="shared" ca="1" si="0"/>
        <v>1981</v>
      </c>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row>
    <row r="39" spans="1:32" s="17" customFormat="1" ht="12.9" customHeight="1">
      <c r="A39" s="106" t="str">
        <f t="shared" ca="1" si="0"/>
        <v>1980</v>
      </c>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row>
    <row r="40" spans="1:32" s="17" customFormat="1" ht="12.9" customHeight="1">
      <c r="A40" s="106" t="str">
        <f t="shared" ca="1" si="0"/>
        <v>1979</v>
      </c>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row>
    <row r="41" spans="1:32" s="17" customFormat="1" ht="12.9" customHeight="1">
      <c r="A41" s="106" t="str">
        <f t="shared" ca="1" si="0"/>
        <v>1978</v>
      </c>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row>
    <row r="42" spans="1:32" s="17" customFormat="1" ht="12.9" customHeight="1">
      <c r="A42" s="106" t="str">
        <f t="shared" ca="1" si="0"/>
        <v>1977</v>
      </c>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row>
    <row r="43" spans="1:32" s="17" customFormat="1" ht="12.9" customHeight="1">
      <c r="A43" s="106" t="str">
        <f t="shared" ca="1" si="0"/>
        <v>1976</v>
      </c>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row>
    <row r="44" spans="1:32" s="17" customFormat="1" ht="12.9" customHeight="1">
      <c r="A44" s="106" t="str">
        <f t="shared" ca="1" si="0"/>
        <v>1975</v>
      </c>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row>
    <row r="45" spans="1:32" s="17" customFormat="1" ht="12.9" customHeight="1">
      <c r="A45" s="106" t="str">
        <f t="shared" ca="1" si="0"/>
        <v>1974</v>
      </c>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row>
    <row r="46" spans="1:32" s="17" customFormat="1" ht="12.9" customHeight="1">
      <c r="A46" s="106" t="str">
        <f t="shared" ca="1" si="0"/>
        <v>1973</v>
      </c>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row>
    <row r="47" spans="1:32" s="17" customFormat="1" ht="12.9" customHeight="1">
      <c r="A47" s="106" t="str">
        <f t="shared" ca="1" si="0"/>
        <v>1972</v>
      </c>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row>
    <row r="48" spans="1:32" s="17" customFormat="1" ht="12.9" customHeight="1">
      <c r="A48" s="106" t="str">
        <f t="shared" ca="1" si="0"/>
        <v>1971</v>
      </c>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row>
    <row r="49" spans="1:32" s="17" customFormat="1" ht="12.9" customHeight="1">
      <c r="A49" s="106" t="str">
        <f t="shared" ca="1" si="0"/>
        <v>1970</v>
      </c>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row>
    <row r="50" spans="1:32" s="17" customFormat="1" ht="12.9" customHeight="1">
      <c r="A50" s="106" t="str">
        <f t="shared" ca="1" si="0"/>
        <v>1969</v>
      </c>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row>
    <row r="51" spans="1:32" s="17" customFormat="1" ht="12.9" customHeight="1">
      <c r="A51" s="106" t="str">
        <f t="shared" ca="1" si="0"/>
        <v>1968</v>
      </c>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row>
    <row r="52" spans="1:32" s="17" customFormat="1" ht="12.9" customHeight="1">
      <c r="A52" s="106" t="str">
        <f t="shared" ca="1" si="0"/>
        <v>1967</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row>
    <row r="53" spans="1:32" s="17" customFormat="1" ht="12.9" customHeight="1">
      <c r="A53" s="106" t="str">
        <f t="shared" ca="1" si="0"/>
        <v>1966</v>
      </c>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row>
    <row r="54" spans="1:32" s="17" customFormat="1" ht="12.9" customHeight="1">
      <c r="A54" s="106" t="str">
        <f t="shared" ca="1" si="0"/>
        <v>1965</v>
      </c>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row>
    <row r="55" spans="1:32" s="17" customFormat="1" ht="12.9" customHeight="1">
      <c r="A55" s="106" t="str">
        <f t="shared" ca="1" si="0"/>
        <v>1964</v>
      </c>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row>
    <row r="56" spans="1:32" s="17" customFormat="1" ht="12.9" customHeight="1">
      <c r="A56" s="106" t="str">
        <f t="shared" ca="1" si="0"/>
        <v>1963</v>
      </c>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row>
    <row r="57" spans="1:32" s="17" customFormat="1" ht="12.9" customHeight="1">
      <c r="A57" s="106" t="str">
        <f t="shared" ca="1" si="0"/>
        <v>1962</v>
      </c>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row>
    <row r="58" spans="1:32" s="17" customFormat="1" ht="12.9" customHeight="1">
      <c r="A58" s="106" t="str">
        <f t="shared" ca="1" si="0"/>
        <v>1961</v>
      </c>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row>
    <row r="59" spans="1:32" s="17" customFormat="1" ht="12.9" customHeight="1">
      <c r="A59" s="106" t="str">
        <f t="shared" ca="1" si="0"/>
        <v>1960</v>
      </c>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row>
    <row r="60" spans="1:32" s="17" customFormat="1" ht="12.9" customHeight="1">
      <c r="A60" s="10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row>
    <row r="61" spans="1:32" s="17" customFormat="1" ht="12.9" customHeight="1">
      <c r="A61" s="10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row>
    <row r="62" spans="1:32" s="17" customFormat="1" ht="12.9" customHeight="1">
      <c r="A62" s="10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row>
    <row r="63" spans="1:32" s="17" customFormat="1" ht="12.9" customHeight="1">
      <c r="A63" s="10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row>
    <row r="64" spans="1:32" s="17" customFormat="1" ht="12.9" customHeight="1">
      <c r="A64" s="10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row>
    <row r="65" spans="1:32" s="17" customFormat="1" ht="12.9" customHeight="1">
      <c r="A65" s="10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row>
    <row r="66" spans="1:32" s="17" customFormat="1" ht="12.9" customHeight="1">
      <c r="A66" s="10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row>
    <row r="67" spans="1:32" s="17" customFormat="1" ht="12.9" customHeight="1">
      <c r="A67" s="10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row>
    <row r="68" spans="1:32" s="17" customFormat="1" ht="12.9" customHeight="1">
      <c r="A68" s="10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row>
    <row r="69" spans="1:32" s="17" customFormat="1" ht="12.9" customHeight="1">
      <c r="A69" s="10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row>
    <row r="70" spans="1:32" s="17" customFormat="1" ht="12.9" customHeight="1">
      <c r="A70" s="10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row>
    <row r="71" spans="1:32" s="17" customFormat="1" ht="12.9" customHeight="1">
      <c r="A71" s="10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row>
    <row r="72" spans="1:32" s="17" customFormat="1" ht="12.9" customHeight="1">
      <c r="A72" s="10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row>
    <row r="73" spans="1:32" s="17" customFormat="1" ht="12.9" customHeight="1">
      <c r="A73" s="106"/>
      <c r="B73" s="16"/>
      <c r="C73" s="16"/>
      <c r="D73" s="16"/>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row>
    <row r="74" spans="1:32" s="17" customFormat="1" ht="12.9" customHeight="1">
      <c r="A74" s="106"/>
      <c r="B74" s="16"/>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row>
    <row r="75" spans="1:32" s="17" customFormat="1" ht="12.9" customHeight="1">
      <c r="A75" s="106"/>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row>
    <row r="76" spans="1:32" s="17" customFormat="1" ht="12.9" customHeight="1">
      <c r="A76" s="106"/>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row>
    <row r="77" spans="1:32" s="17" customFormat="1" ht="12.9" customHeight="1">
      <c r="A77" s="106"/>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row>
    <row r="78" spans="1:32" s="17" customFormat="1" ht="12.9" customHeight="1">
      <c r="A78" s="106"/>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row>
    <row r="79" spans="1:32" s="17" customFormat="1" ht="12.9" customHeight="1">
      <c r="A79" s="106"/>
      <c r="B79" s="16"/>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row>
    <row r="80" spans="1:32" s="17" customFormat="1" ht="12.9" customHeight="1">
      <c r="A80" s="106"/>
      <c r="B80" s="16"/>
      <c r="C80" s="16"/>
      <c r="D80" s="16"/>
      <c r="E80" s="16"/>
      <c r="F80" s="16"/>
      <c r="G80" s="16"/>
      <c r="H80" s="16"/>
      <c r="I80" s="16"/>
      <c r="J80" s="16"/>
      <c r="K80" s="16"/>
      <c r="L80" s="16"/>
      <c r="M80" s="16"/>
      <c r="N80" s="16"/>
      <c r="O80" s="16"/>
      <c r="P80" s="16"/>
      <c r="Q80" s="16"/>
      <c r="R80" s="16"/>
      <c r="S80" s="16"/>
      <c r="T80" s="16"/>
      <c r="U80" s="16"/>
      <c r="V80" s="16"/>
      <c r="W80" s="16"/>
      <c r="X80" s="16"/>
      <c r="Y80" s="16"/>
      <c r="Z80" s="16"/>
      <c r="AA80" s="16"/>
      <c r="AB80" s="16"/>
      <c r="AC80" s="16"/>
      <c r="AD80" s="16"/>
      <c r="AE80" s="16"/>
      <c r="AF80" s="16"/>
    </row>
    <row r="81" spans="1:32" s="17" customFormat="1" ht="12.9" customHeight="1">
      <c r="A81" s="106"/>
      <c r="B81" s="16"/>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row>
    <row r="82" spans="1:32" s="17" customFormat="1" ht="12.9" customHeight="1">
      <c r="A82" s="106"/>
      <c r="B82" s="16"/>
      <c r="C82" s="16"/>
      <c r="D82" s="16"/>
      <c r="E82" s="16"/>
      <c r="F82" s="16"/>
      <c r="G82" s="16"/>
      <c r="H82" s="16"/>
      <c r="I82" s="16"/>
      <c r="J82" s="16"/>
      <c r="K82" s="16"/>
      <c r="L82" s="16"/>
      <c r="M82" s="16"/>
      <c r="N82" s="16"/>
      <c r="O82" s="16"/>
      <c r="P82" s="16"/>
      <c r="Q82" s="16"/>
      <c r="R82" s="16"/>
      <c r="S82" s="16"/>
      <c r="T82" s="16"/>
      <c r="U82" s="16"/>
      <c r="V82" s="16"/>
      <c r="W82" s="16"/>
      <c r="X82" s="16"/>
      <c r="Y82" s="16"/>
      <c r="Z82" s="16"/>
      <c r="AA82" s="16"/>
      <c r="AB82" s="16"/>
      <c r="AC82" s="16"/>
      <c r="AD82" s="16"/>
      <c r="AE82" s="16"/>
      <c r="AF82" s="16"/>
    </row>
    <row r="83" spans="1:32" s="17" customFormat="1" ht="12.9" customHeight="1">
      <c r="A83" s="106"/>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c r="AB83" s="16"/>
      <c r="AC83" s="16"/>
      <c r="AD83" s="16"/>
      <c r="AE83" s="16"/>
      <c r="AF83" s="16"/>
    </row>
    <row r="84" spans="1:32" s="17" customFormat="1" ht="12.9" customHeight="1">
      <c r="A84" s="106"/>
      <c r="B84" s="16"/>
      <c r="C84" s="16"/>
      <c r="D84" s="16"/>
      <c r="E84" s="16"/>
      <c r="F84" s="16"/>
      <c r="G84" s="16"/>
      <c r="H84" s="16"/>
      <c r="I84" s="16"/>
      <c r="J84" s="16"/>
      <c r="K84" s="16"/>
      <c r="L84" s="16"/>
      <c r="M84" s="16"/>
      <c r="N84" s="16"/>
      <c r="O84" s="16"/>
      <c r="P84" s="16"/>
      <c r="Q84" s="16"/>
      <c r="R84" s="16"/>
      <c r="S84" s="16"/>
      <c r="T84" s="16"/>
      <c r="U84" s="16"/>
      <c r="V84" s="16"/>
      <c r="W84" s="16"/>
      <c r="X84" s="16"/>
      <c r="Y84" s="16"/>
      <c r="Z84" s="16"/>
      <c r="AA84" s="16"/>
      <c r="AB84" s="16"/>
      <c r="AC84" s="16"/>
      <c r="AD84" s="16"/>
      <c r="AE84" s="16"/>
      <c r="AF84" s="16"/>
    </row>
    <row r="85" spans="1:32" s="17" customFormat="1" ht="12.9" customHeight="1">
      <c r="A85" s="106"/>
      <c r="B85" s="16"/>
      <c r="C85" s="16"/>
      <c r="D85" s="16"/>
      <c r="E85" s="16"/>
      <c r="F85" s="16"/>
      <c r="G85" s="16"/>
      <c r="H85" s="16"/>
      <c r="I85" s="16"/>
      <c r="J85" s="16"/>
      <c r="K85" s="16"/>
      <c r="L85" s="16"/>
      <c r="M85" s="16"/>
      <c r="N85" s="16"/>
      <c r="O85" s="16"/>
      <c r="P85" s="16"/>
      <c r="Q85" s="16"/>
      <c r="R85" s="16"/>
      <c r="S85" s="16"/>
      <c r="T85" s="16"/>
      <c r="U85" s="16"/>
      <c r="V85" s="16"/>
      <c r="W85" s="16"/>
      <c r="X85" s="16"/>
      <c r="Y85" s="16"/>
      <c r="Z85" s="16"/>
      <c r="AA85" s="16"/>
      <c r="AB85" s="16"/>
      <c r="AC85" s="16"/>
      <c r="AD85" s="16"/>
      <c r="AE85" s="16"/>
      <c r="AF85" s="16"/>
    </row>
    <row r="86" spans="1:32" s="17" customFormat="1" ht="12.9" customHeight="1">
      <c r="A86" s="106"/>
      <c r="B86" s="16"/>
      <c r="C86" s="16"/>
      <c r="D86" s="16"/>
      <c r="E86" s="16"/>
      <c r="F86" s="16"/>
      <c r="G86" s="16"/>
      <c r="H86" s="16"/>
      <c r="I86" s="16"/>
      <c r="J86" s="16"/>
      <c r="K86" s="16"/>
      <c r="L86" s="16"/>
      <c r="M86" s="16"/>
      <c r="N86" s="16"/>
      <c r="O86" s="16"/>
      <c r="P86" s="16"/>
      <c r="Q86" s="16"/>
      <c r="R86" s="16"/>
      <c r="S86" s="16"/>
      <c r="T86" s="16"/>
      <c r="U86" s="16"/>
      <c r="V86" s="16"/>
      <c r="W86" s="16"/>
      <c r="X86" s="16"/>
      <c r="Y86" s="16"/>
      <c r="Z86" s="16"/>
      <c r="AA86" s="16"/>
      <c r="AB86" s="16"/>
      <c r="AC86" s="16"/>
      <c r="AD86" s="16"/>
      <c r="AE86" s="16"/>
      <c r="AF86" s="16"/>
    </row>
    <row r="87" spans="1:32" s="17" customFormat="1" ht="12.9" customHeight="1">
      <c r="A87" s="106"/>
      <c r="B87" s="16"/>
      <c r="C87" s="16"/>
      <c r="D87" s="16"/>
      <c r="E87" s="16"/>
      <c r="F87" s="16"/>
      <c r="G87" s="16"/>
      <c r="H87" s="16"/>
      <c r="I87" s="16"/>
      <c r="J87" s="16"/>
      <c r="K87" s="16"/>
      <c r="L87" s="16"/>
      <c r="M87" s="16"/>
      <c r="N87" s="16"/>
      <c r="O87" s="16"/>
      <c r="P87" s="16"/>
      <c r="Q87" s="16"/>
      <c r="R87" s="16"/>
      <c r="S87" s="16"/>
      <c r="T87" s="16"/>
      <c r="U87" s="16"/>
      <c r="V87" s="16"/>
      <c r="W87" s="16"/>
      <c r="X87" s="16"/>
      <c r="Y87" s="16"/>
      <c r="Z87" s="16"/>
      <c r="AA87" s="16"/>
      <c r="AB87" s="16"/>
      <c r="AC87" s="16"/>
      <c r="AD87" s="16"/>
      <c r="AE87" s="16"/>
      <c r="AF87" s="16"/>
    </row>
    <row r="88" spans="1:32" s="17" customFormat="1" ht="12.9" customHeight="1">
      <c r="A88" s="106"/>
      <c r="B88" s="16"/>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row>
    <row r="89" spans="1:32" s="17" customFormat="1" ht="12.9" customHeight="1">
      <c r="A89" s="106"/>
      <c r="B89" s="16"/>
      <c r="C89" s="16"/>
      <c r="D89" s="16"/>
      <c r="E89" s="16"/>
      <c r="F89" s="16"/>
      <c r="G89" s="16"/>
      <c r="H89" s="16"/>
      <c r="I89" s="16"/>
      <c r="J89" s="16"/>
      <c r="K89" s="16"/>
      <c r="L89" s="16"/>
      <c r="M89" s="16"/>
      <c r="N89" s="16"/>
      <c r="O89" s="16"/>
      <c r="P89" s="16"/>
      <c r="Q89" s="16"/>
      <c r="R89" s="16"/>
      <c r="S89" s="16"/>
      <c r="T89" s="16"/>
      <c r="U89" s="16"/>
      <c r="V89" s="16"/>
      <c r="W89" s="16"/>
      <c r="X89" s="16"/>
      <c r="Y89" s="16"/>
      <c r="Z89" s="16"/>
      <c r="AA89" s="16"/>
      <c r="AB89" s="16"/>
      <c r="AC89" s="16"/>
      <c r="AD89" s="16"/>
      <c r="AE89" s="16"/>
      <c r="AF89" s="16"/>
    </row>
    <row r="90" spans="1:32" s="17" customFormat="1" ht="12.9" customHeight="1">
      <c r="A90" s="106"/>
      <c r="B90" s="16"/>
      <c r="C90" s="16"/>
      <c r="D90" s="16"/>
      <c r="E90" s="16"/>
      <c r="F90" s="16"/>
      <c r="G90" s="16"/>
      <c r="H90" s="16"/>
      <c r="I90" s="16"/>
      <c r="J90" s="16"/>
      <c r="K90" s="16"/>
      <c r="L90" s="16"/>
      <c r="M90" s="16"/>
      <c r="N90" s="16"/>
      <c r="O90" s="16"/>
      <c r="P90" s="16"/>
      <c r="Q90" s="16"/>
      <c r="R90" s="16"/>
      <c r="S90" s="16"/>
      <c r="T90" s="16"/>
      <c r="U90" s="16"/>
      <c r="V90" s="16"/>
      <c r="W90" s="16"/>
      <c r="X90" s="16"/>
      <c r="Y90" s="16"/>
      <c r="Z90" s="16"/>
      <c r="AA90" s="16"/>
      <c r="AB90" s="16"/>
      <c r="AC90" s="16"/>
      <c r="AD90" s="16"/>
      <c r="AE90" s="16"/>
      <c r="AF90" s="16"/>
    </row>
    <row r="91" spans="1:32" s="17" customFormat="1" ht="12.9" customHeight="1">
      <c r="A91" s="106"/>
      <c r="B91" s="16"/>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row>
    <row r="92" spans="1:32" s="17" customFormat="1" ht="12.9" customHeight="1">
      <c r="A92" s="106"/>
      <c r="B92" s="16"/>
      <c r="C92" s="16"/>
      <c r="D92" s="16"/>
      <c r="E92" s="16"/>
      <c r="F92" s="16"/>
      <c r="G92" s="16"/>
      <c r="H92" s="16"/>
      <c r="I92" s="16"/>
      <c r="J92" s="16"/>
      <c r="K92" s="16"/>
      <c r="L92" s="16"/>
      <c r="M92" s="16"/>
      <c r="N92" s="16"/>
      <c r="O92" s="16"/>
      <c r="P92" s="16"/>
      <c r="Q92" s="16"/>
      <c r="R92" s="16"/>
      <c r="S92" s="16"/>
      <c r="T92" s="16"/>
      <c r="U92" s="16"/>
      <c r="V92" s="16"/>
      <c r="W92" s="16"/>
      <c r="X92" s="16"/>
      <c r="Y92" s="16"/>
      <c r="Z92" s="16"/>
      <c r="AA92" s="16"/>
      <c r="AB92" s="16"/>
      <c r="AC92" s="16"/>
      <c r="AD92" s="16"/>
      <c r="AE92" s="16"/>
      <c r="AF92" s="16"/>
    </row>
    <row r="93" spans="1:32" s="17" customFormat="1" ht="12.9" customHeight="1">
      <c r="A93" s="106"/>
      <c r="B93" s="16"/>
      <c r="C93" s="16"/>
      <c r="D93" s="16"/>
      <c r="E93" s="16"/>
      <c r="F93" s="16"/>
      <c r="G93" s="16"/>
      <c r="H93" s="16"/>
      <c r="I93" s="16"/>
      <c r="J93" s="16"/>
      <c r="K93" s="16"/>
      <c r="L93" s="16"/>
      <c r="M93" s="16"/>
      <c r="N93" s="16"/>
      <c r="O93" s="16"/>
      <c r="P93" s="16"/>
      <c r="Q93" s="16"/>
      <c r="R93" s="16"/>
      <c r="S93" s="16"/>
      <c r="T93" s="16"/>
      <c r="U93" s="16"/>
      <c r="V93" s="16"/>
      <c r="W93" s="16"/>
      <c r="X93" s="16"/>
      <c r="Y93" s="16"/>
      <c r="Z93" s="16"/>
      <c r="AA93" s="16"/>
      <c r="AB93" s="16"/>
      <c r="AC93" s="16"/>
      <c r="AD93" s="16"/>
      <c r="AE93" s="16"/>
      <c r="AF93" s="16"/>
    </row>
    <row r="94" spans="1:32" s="17" customFormat="1" ht="12.9" customHeight="1">
      <c r="A94" s="106"/>
      <c r="B94" s="16"/>
      <c r="C94" s="16"/>
      <c r="D94" s="16"/>
      <c r="E94" s="16"/>
      <c r="F94" s="16"/>
      <c r="G94" s="16"/>
      <c r="H94" s="16"/>
      <c r="I94" s="16"/>
      <c r="J94" s="16"/>
      <c r="K94" s="16"/>
      <c r="L94" s="16"/>
      <c r="M94" s="16"/>
      <c r="N94" s="16"/>
      <c r="O94" s="16"/>
      <c r="P94" s="16"/>
      <c r="Q94" s="16"/>
      <c r="R94" s="16"/>
      <c r="S94" s="16"/>
      <c r="T94" s="16"/>
      <c r="U94" s="16"/>
      <c r="V94" s="16"/>
      <c r="W94" s="16"/>
      <c r="X94" s="16"/>
      <c r="Y94" s="16"/>
      <c r="Z94" s="16"/>
      <c r="AA94" s="16"/>
      <c r="AB94" s="16"/>
      <c r="AC94" s="16"/>
      <c r="AD94" s="16"/>
      <c r="AE94" s="16"/>
      <c r="AF94" s="16"/>
    </row>
    <row r="95" spans="1:32" s="17" customFormat="1" ht="12.9" customHeight="1">
      <c r="A95" s="106"/>
      <c r="B95" s="16"/>
      <c r="C95" s="16"/>
      <c r="D95" s="16"/>
      <c r="E95" s="16"/>
      <c r="F95" s="16"/>
      <c r="G95" s="16"/>
      <c r="H95" s="16"/>
      <c r="I95" s="16"/>
      <c r="J95" s="16"/>
      <c r="K95" s="16"/>
      <c r="L95" s="16"/>
      <c r="M95" s="16"/>
      <c r="N95" s="16"/>
      <c r="O95" s="16"/>
      <c r="P95" s="16"/>
      <c r="Q95" s="16"/>
      <c r="R95" s="16"/>
      <c r="S95" s="16"/>
      <c r="T95" s="16"/>
      <c r="U95" s="16"/>
      <c r="V95" s="16"/>
      <c r="W95" s="16"/>
      <c r="X95" s="16"/>
      <c r="Y95" s="16"/>
      <c r="Z95" s="16"/>
      <c r="AA95" s="16"/>
      <c r="AB95" s="16"/>
      <c r="AC95" s="16"/>
      <c r="AD95" s="16"/>
      <c r="AE95" s="16"/>
      <c r="AF95" s="16"/>
    </row>
    <row r="96" spans="1:32" s="17" customFormat="1" ht="12.9" customHeight="1">
      <c r="A96" s="106"/>
      <c r="B96" s="16"/>
      <c r="C96" s="16"/>
      <c r="D96" s="16"/>
      <c r="E96" s="16"/>
      <c r="F96" s="16"/>
      <c r="G96" s="16"/>
      <c r="H96" s="16"/>
      <c r="I96" s="16"/>
      <c r="J96" s="16"/>
      <c r="K96" s="16"/>
      <c r="L96" s="16"/>
      <c r="M96" s="16"/>
      <c r="N96" s="16"/>
      <c r="O96" s="16"/>
      <c r="P96" s="16"/>
      <c r="Q96" s="16"/>
      <c r="R96" s="16"/>
      <c r="S96" s="16"/>
      <c r="T96" s="16"/>
      <c r="U96" s="16"/>
      <c r="V96" s="16"/>
      <c r="W96" s="16"/>
      <c r="X96" s="16"/>
      <c r="Y96" s="16"/>
      <c r="Z96" s="16"/>
      <c r="AA96" s="16"/>
      <c r="AB96" s="16"/>
      <c r="AC96" s="16"/>
      <c r="AD96" s="16"/>
      <c r="AE96" s="16"/>
      <c r="AF96" s="16"/>
    </row>
    <row r="97" spans="1:32" s="17" customFormat="1" ht="12.9" customHeight="1">
      <c r="A97" s="106"/>
      <c r="B97" s="16"/>
      <c r="C97" s="16"/>
      <c r="D97" s="16"/>
      <c r="E97" s="16"/>
      <c r="F97" s="16"/>
      <c r="G97" s="16"/>
      <c r="H97" s="16"/>
      <c r="I97" s="16"/>
      <c r="J97" s="16"/>
      <c r="K97" s="16"/>
      <c r="L97" s="16"/>
      <c r="M97" s="16"/>
      <c r="N97" s="16"/>
      <c r="O97" s="16"/>
      <c r="P97" s="16"/>
      <c r="Q97" s="16"/>
      <c r="R97" s="16"/>
      <c r="S97" s="16"/>
      <c r="T97" s="16"/>
      <c r="U97" s="16"/>
      <c r="V97" s="16"/>
      <c r="W97" s="16"/>
      <c r="X97" s="16"/>
      <c r="Y97" s="16"/>
      <c r="Z97" s="16"/>
      <c r="AA97" s="16"/>
      <c r="AB97" s="16"/>
      <c r="AC97" s="16"/>
      <c r="AD97" s="16"/>
      <c r="AE97" s="16"/>
      <c r="AF97" s="16"/>
    </row>
    <row r="98" spans="1:32" s="17" customFormat="1" ht="12.9" customHeight="1">
      <c r="A98" s="106"/>
      <c r="B98" s="16"/>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row>
    <row r="99" spans="1:32" s="17" customFormat="1" ht="12.9" customHeight="1">
      <c r="A99" s="106"/>
      <c r="B99" s="16"/>
      <c r="C99" s="16"/>
      <c r="D99" s="16"/>
      <c r="E99" s="16"/>
      <c r="F99" s="16"/>
      <c r="G99" s="16"/>
      <c r="H99" s="16"/>
      <c r="I99" s="16"/>
      <c r="J99" s="16"/>
      <c r="K99" s="16"/>
      <c r="L99" s="16"/>
      <c r="M99" s="16"/>
      <c r="N99" s="16"/>
      <c r="O99" s="16"/>
      <c r="P99" s="16"/>
      <c r="Q99" s="16"/>
      <c r="R99" s="16"/>
      <c r="S99" s="16"/>
      <c r="T99" s="16"/>
      <c r="U99" s="16"/>
      <c r="V99" s="16"/>
      <c r="W99" s="16"/>
      <c r="X99" s="16"/>
      <c r="Y99" s="16"/>
      <c r="Z99" s="16"/>
      <c r="AA99" s="16"/>
      <c r="AB99" s="16"/>
      <c r="AC99" s="16"/>
      <c r="AD99" s="16"/>
      <c r="AE99" s="16"/>
      <c r="AF99" s="16"/>
    </row>
    <row r="100" spans="1:32" s="17" customFormat="1" ht="12.9" customHeight="1">
      <c r="A100" s="106"/>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c r="AA100" s="16"/>
      <c r="AB100" s="16"/>
      <c r="AC100" s="16"/>
      <c r="AD100" s="16"/>
      <c r="AE100" s="16"/>
      <c r="AF100" s="16"/>
    </row>
    <row r="101" spans="1:32" s="17" customFormat="1" ht="12.9" customHeight="1">
      <c r="A101" s="10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c r="AA101" s="16"/>
      <c r="AB101" s="16"/>
      <c r="AC101" s="16"/>
      <c r="AD101" s="16"/>
      <c r="AE101" s="16"/>
      <c r="AF101" s="16"/>
    </row>
    <row r="102" spans="1:32" s="17" customFormat="1" ht="12.9" customHeight="1">
      <c r="A102" s="106"/>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c r="AA102" s="16"/>
      <c r="AB102" s="16"/>
      <c r="AC102" s="16"/>
      <c r="AD102" s="16"/>
      <c r="AE102" s="16"/>
      <c r="AF102" s="16"/>
    </row>
    <row r="103" spans="1:32" s="17" customFormat="1" ht="12.9" customHeight="1">
      <c r="A103" s="106"/>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c r="AA103" s="16"/>
      <c r="AB103" s="16"/>
      <c r="AC103" s="16"/>
      <c r="AD103" s="16"/>
      <c r="AE103" s="16"/>
      <c r="AF103" s="16"/>
    </row>
    <row r="104" spans="1:32" s="17" customFormat="1" ht="12.9" customHeight="1">
      <c r="A104" s="106"/>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row>
    <row r="105" spans="1:32" s="17" customFormat="1" ht="12.9" customHeight="1">
      <c r="A105" s="106"/>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row>
    <row r="106" spans="1:32" s="17" customFormat="1" ht="12.9" customHeight="1">
      <c r="A106" s="106"/>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c r="AA106" s="16"/>
      <c r="AB106" s="16"/>
      <c r="AC106" s="16"/>
      <c r="AD106" s="16"/>
      <c r="AE106" s="16"/>
      <c r="AF106" s="16"/>
    </row>
    <row r="107" spans="1:32" s="17" customFormat="1" ht="12.9" customHeight="1">
      <c r="A107" s="106"/>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c r="AA107" s="16"/>
      <c r="AB107" s="16"/>
      <c r="AC107" s="16"/>
      <c r="AD107" s="16"/>
      <c r="AE107" s="16"/>
      <c r="AF107" s="16"/>
    </row>
    <row r="108" spans="1:32" s="17" customFormat="1" ht="12.9" customHeight="1">
      <c r="A108" s="106"/>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row>
    <row r="109" spans="1:32" s="17" customFormat="1" ht="12.9" customHeight="1">
      <c r="A109" s="106"/>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c r="AA109" s="16"/>
      <c r="AB109" s="16"/>
      <c r="AC109" s="16"/>
      <c r="AD109" s="16"/>
      <c r="AE109" s="16"/>
      <c r="AF109" s="16"/>
    </row>
    <row r="110" spans="1:32" s="17" customFormat="1" ht="12.9" customHeight="1">
      <c r="A110" s="106"/>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16"/>
      <c r="AD110" s="16"/>
      <c r="AE110" s="16"/>
      <c r="AF110" s="16"/>
    </row>
    <row r="111" spans="1:32" s="17" customFormat="1" ht="12.9" customHeight="1">
      <c r="A111" s="106"/>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c r="AA111" s="16"/>
      <c r="AB111" s="16"/>
      <c r="AC111" s="16"/>
      <c r="AD111" s="16"/>
      <c r="AE111" s="16"/>
      <c r="AF111" s="16"/>
    </row>
    <row r="112" spans="1:32" s="17" customFormat="1" ht="12.9" customHeight="1">
      <c r="A112" s="106"/>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row>
    <row r="113" spans="1:32" s="17" customFormat="1" ht="12.9" customHeight="1">
      <c r="A113" s="106"/>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c r="AE113" s="16"/>
      <c r="AF113" s="16"/>
    </row>
    <row r="114" spans="1:32" s="17" customFormat="1" ht="12.9" customHeight="1">
      <c r="A114" s="106"/>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c r="AA114" s="16"/>
      <c r="AB114" s="16"/>
      <c r="AC114" s="16"/>
      <c r="AD114" s="16"/>
      <c r="AE114" s="16"/>
      <c r="AF114" s="16"/>
    </row>
    <row r="115" spans="1:32" s="17" customFormat="1" ht="12.9" customHeight="1">
      <c r="A115" s="106"/>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row>
    <row r="116" spans="1:32" s="17" customFormat="1" ht="12.9" customHeight="1">
      <c r="A116" s="106"/>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c r="AA116" s="16"/>
      <c r="AB116" s="16"/>
      <c r="AC116" s="16"/>
      <c r="AD116" s="16"/>
      <c r="AE116" s="16"/>
      <c r="AF116" s="16"/>
    </row>
    <row r="117" spans="1:32" s="17" customFormat="1" ht="12.9" customHeight="1">
      <c r="A117" s="106"/>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c r="AA117" s="16"/>
      <c r="AB117" s="16"/>
      <c r="AC117" s="16"/>
      <c r="AD117" s="16"/>
      <c r="AE117" s="16"/>
      <c r="AF117" s="16"/>
    </row>
    <row r="118" spans="1:32" s="17" customFormat="1" ht="12.9" customHeight="1">
      <c r="A118" s="106"/>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c r="AA118" s="16"/>
      <c r="AB118" s="16"/>
      <c r="AC118" s="16"/>
      <c r="AD118" s="16"/>
      <c r="AE118" s="16"/>
      <c r="AF118" s="16"/>
    </row>
    <row r="119" spans="1:32" s="17" customFormat="1" ht="12.9" customHeight="1">
      <c r="A119" s="106"/>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c r="AA119" s="16"/>
      <c r="AB119" s="16"/>
      <c r="AC119" s="16"/>
      <c r="AD119" s="16"/>
      <c r="AE119" s="16"/>
      <c r="AF119" s="16"/>
    </row>
    <row r="120" spans="1:32" s="17" customFormat="1" ht="12.9" customHeight="1">
      <c r="A120" s="106"/>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c r="AA120" s="16"/>
      <c r="AB120" s="16"/>
      <c r="AC120" s="16"/>
      <c r="AD120" s="16"/>
      <c r="AE120" s="16"/>
      <c r="AF120" s="16"/>
    </row>
    <row r="121" spans="1:32" s="17" customFormat="1" ht="12.9" customHeight="1">
      <c r="A121" s="106"/>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c r="AA121" s="16"/>
      <c r="AB121" s="16"/>
      <c r="AC121" s="16"/>
      <c r="AD121" s="16"/>
      <c r="AE121" s="16"/>
      <c r="AF121" s="16"/>
    </row>
    <row r="122" spans="1:32" s="17" customFormat="1" ht="12.9" customHeight="1">
      <c r="A122" s="106"/>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row>
    <row r="123" spans="1:32" s="17" customFormat="1" ht="12.9" customHeight="1">
      <c r="A123" s="106"/>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c r="AA123" s="16"/>
      <c r="AB123" s="16"/>
      <c r="AC123" s="16"/>
      <c r="AD123" s="16"/>
      <c r="AE123" s="16"/>
      <c r="AF123" s="16"/>
    </row>
    <row r="124" spans="1:32" s="17" customFormat="1" ht="12.9" customHeight="1">
      <c r="A124" s="106"/>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c r="AA124" s="16"/>
      <c r="AB124" s="16"/>
      <c r="AC124" s="16"/>
      <c r="AD124" s="16"/>
      <c r="AE124" s="16"/>
      <c r="AF124" s="16"/>
    </row>
    <row r="125" spans="1:32" s="17" customFormat="1" ht="12.9" customHeight="1">
      <c r="A125" s="106"/>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row>
    <row r="126" spans="1:32" s="17" customFormat="1" ht="12.9" customHeight="1">
      <c r="A126" s="106"/>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c r="AA126" s="16"/>
      <c r="AB126" s="16"/>
      <c r="AC126" s="16"/>
      <c r="AD126" s="16"/>
      <c r="AE126" s="16"/>
      <c r="AF126" s="16"/>
    </row>
    <row r="127" spans="1:32" s="17" customFormat="1" ht="12.9" customHeight="1">
      <c r="A127" s="106"/>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c r="AA127" s="16"/>
      <c r="AB127" s="16"/>
      <c r="AC127" s="16"/>
      <c r="AD127" s="16"/>
      <c r="AE127" s="16"/>
      <c r="AF127" s="16"/>
    </row>
    <row r="128" spans="1:32" s="17" customFormat="1" ht="12.9" customHeight="1">
      <c r="A128" s="106"/>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c r="AA128" s="16"/>
      <c r="AB128" s="16"/>
      <c r="AC128" s="16"/>
      <c r="AD128" s="16"/>
      <c r="AE128" s="16"/>
      <c r="AF128" s="16"/>
    </row>
    <row r="129" spans="1:32" s="17" customFormat="1" ht="12.9" customHeight="1">
      <c r="A129" s="106"/>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c r="AA129" s="16"/>
      <c r="AB129" s="16"/>
      <c r="AC129" s="16"/>
      <c r="AD129" s="16"/>
      <c r="AE129" s="16"/>
      <c r="AF129" s="16"/>
    </row>
    <row r="130" spans="1:32" s="17" customFormat="1" ht="12.9" customHeight="1">
      <c r="A130" s="106"/>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c r="AA130" s="16"/>
      <c r="AB130" s="16"/>
      <c r="AC130" s="16"/>
      <c r="AD130" s="16"/>
      <c r="AE130" s="16"/>
      <c r="AF130" s="16"/>
    </row>
    <row r="131" spans="1:32" s="17" customFormat="1" ht="12.9" customHeight="1">
      <c r="A131" s="106"/>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c r="AA131" s="16"/>
      <c r="AB131" s="16"/>
      <c r="AC131" s="16"/>
      <c r="AD131" s="16"/>
      <c r="AE131" s="16"/>
      <c r="AF131" s="16"/>
    </row>
    <row r="132" spans="1:32" s="17" customFormat="1" ht="12.9" customHeight="1">
      <c r="A132" s="106"/>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row>
    <row r="133" spans="1:32" s="17" customFormat="1" ht="12.9" customHeight="1">
      <c r="A133" s="106"/>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c r="AA133" s="16"/>
      <c r="AB133" s="16"/>
      <c r="AC133" s="16"/>
      <c r="AD133" s="16"/>
      <c r="AE133" s="16"/>
      <c r="AF133" s="16"/>
    </row>
    <row r="134" spans="1:32" s="17" customFormat="1" ht="12.9" customHeight="1">
      <c r="A134" s="106"/>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c r="AA134" s="16"/>
      <c r="AB134" s="16"/>
      <c r="AC134" s="16"/>
      <c r="AD134" s="16"/>
      <c r="AE134" s="16"/>
      <c r="AF134" s="16"/>
    </row>
    <row r="135" spans="1:32" s="17" customFormat="1" ht="12.9" customHeight="1">
      <c r="A135" s="106"/>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c r="AA135" s="16"/>
      <c r="AB135" s="16"/>
      <c r="AC135" s="16"/>
      <c r="AD135" s="16"/>
      <c r="AE135" s="16"/>
      <c r="AF135" s="16"/>
    </row>
    <row r="136" spans="1:32" s="17" customFormat="1" ht="12.9" customHeight="1">
      <c r="A136" s="106"/>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c r="AA136" s="16"/>
      <c r="AB136" s="16"/>
      <c r="AC136" s="16"/>
      <c r="AD136" s="16"/>
      <c r="AE136" s="16"/>
      <c r="AF136" s="16"/>
    </row>
    <row r="137" spans="1:32" s="17" customFormat="1" ht="12.9" customHeight="1">
      <c r="A137" s="106"/>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row>
    <row r="138" spans="1:32" s="17" customFormat="1" ht="12.9" customHeight="1">
      <c r="A138" s="106"/>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c r="AA138" s="16"/>
      <c r="AB138" s="16"/>
      <c r="AC138" s="16"/>
      <c r="AD138" s="16"/>
      <c r="AE138" s="16"/>
      <c r="AF138" s="16"/>
    </row>
    <row r="139" spans="1:32" s="17" customFormat="1" ht="12.9" customHeight="1">
      <c r="A139" s="106"/>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row>
    <row r="140" spans="1:32" s="17" customFormat="1" ht="12.9" customHeight="1">
      <c r="A140" s="106"/>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c r="AA140" s="16"/>
      <c r="AB140" s="16"/>
      <c r="AC140" s="16"/>
      <c r="AD140" s="16"/>
      <c r="AE140" s="16"/>
      <c r="AF140" s="16"/>
    </row>
    <row r="141" spans="1:32" s="17" customFormat="1" ht="12.9" customHeight="1">
      <c r="A141" s="106"/>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c r="AA141" s="16"/>
      <c r="AB141" s="16"/>
      <c r="AC141" s="16"/>
      <c r="AD141" s="16"/>
      <c r="AE141" s="16"/>
      <c r="AF141" s="16"/>
    </row>
    <row r="142" spans="1:32" s="17" customFormat="1" ht="12.9" customHeight="1">
      <c r="A142" s="106"/>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row>
    <row r="143" spans="1:32" s="17" customFormat="1" ht="12.9" customHeight="1">
      <c r="A143" s="106"/>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c r="AA143" s="16"/>
      <c r="AB143" s="16"/>
      <c r="AC143" s="16"/>
      <c r="AD143" s="16"/>
      <c r="AE143" s="16"/>
      <c r="AF143" s="16"/>
    </row>
    <row r="144" spans="1:32" s="17" customFormat="1" ht="12.9" customHeight="1">
      <c r="A144" s="106"/>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c r="AA144" s="16"/>
      <c r="AB144" s="16"/>
      <c r="AC144" s="16"/>
      <c r="AD144" s="16"/>
      <c r="AE144" s="16"/>
      <c r="AF144" s="16"/>
    </row>
    <row r="145" spans="1:32" s="17" customFormat="1" ht="12.9" customHeight="1">
      <c r="A145" s="106"/>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c r="AA145" s="16"/>
      <c r="AB145" s="16"/>
      <c r="AC145" s="16"/>
      <c r="AD145" s="16"/>
      <c r="AE145" s="16"/>
      <c r="AF145" s="16"/>
    </row>
    <row r="146" spans="1:32" s="17" customFormat="1" ht="12.9" customHeight="1">
      <c r="A146" s="106"/>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c r="AA146" s="16"/>
      <c r="AB146" s="16"/>
      <c r="AC146" s="16"/>
      <c r="AD146" s="16"/>
      <c r="AE146" s="16"/>
      <c r="AF146" s="16"/>
    </row>
    <row r="147" spans="1:32" s="17" customFormat="1" ht="12.9" customHeight="1">
      <c r="A147" s="106"/>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c r="AA147" s="16"/>
      <c r="AB147" s="16"/>
      <c r="AC147" s="16"/>
      <c r="AD147" s="16"/>
      <c r="AE147" s="16"/>
      <c r="AF147" s="16"/>
    </row>
    <row r="148" spans="1:32" s="17" customFormat="1" ht="12.9" customHeight="1">
      <c r="A148" s="106"/>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row>
    <row r="149" spans="1:32" s="17" customFormat="1" ht="12.9" customHeight="1">
      <c r="A149" s="106"/>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row>
    <row r="150" spans="1:32" s="17" customFormat="1" ht="12.9" customHeight="1">
      <c r="A150" s="106"/>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c r="AA150" s="16"/>
      <c r="AB150" s="16"/>
      <c r="AC150" s="16"/>
      <c r="AD150" s="16"/>
      <c r="AE150" s="16"/>
      <c r="AF150" s="16"/>
    </row>
    <row r="151" spans="1:32" s="17" customFormat="1" ht="12.9" customHeight="1">
      <c r="A151" s="106"/>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c r="AA151" s="16"/>
      <c r="AB151" s="16"/>
      <c r="AC151" s="16"/>
      <c r="AD151" s="16"/>
      <c r="AE151" s="16"/>
      <c r="AF151" s="16"/>
    </row>
    <row r="152" spans="1:32" s="17" customFormat="1" ht="12.9" customHeight="1">
      <c r="A152" s="106"/>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c r="AA152" s="16"/>
      <c r="AB152" s="16"/>
      <c r="AC152" s="16"/>
      <c r="AD152" s="16"/>
      <c r="AE152" s="16"/>
      <c r="AF152" s="16"/>
    </row>
    <row r="153" spans="1:32" s="17" customFormat="1" ht="12.9" customHeight="1">
      <c r="A153" s="106"/>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c r="AA153" s="16"/>
      <c r="AB153" s="16"/>
      <c r="AC153" s="16"/>
      <c r="AD153" s="16"/>
      <c r="AE153" s="16"/>
      <c r="AF153" s="16"/>
    </row>
    <row r="154" spans="1:32" s="17" customFormat="1" ht="12.9" customHeight="1">
      <c r="A154" s="106"/>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c r="AA154" s="16"/>
      <c r="AB154" s="16"/>
      <c r="AC154" s="16"/>
      <c r="AD154" s="16"/>
      <c r="AE154" s="16"/>
      <c r="AF154" s="16"/>
    </row>
    <row r="155" spans="1:32" s="17" customFormat="1" ht="12.9" customHeight="1">
      <c r="A155" s="106"/>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c r="AA155" s="16"/>
      <c r="AB155" s="16"/>
      <c r="AC155" s="16"/>
      <c r="AD155" s="16"/>
      <c r="AE155" s="16"/>
      <c r="AF155" s="16"/>
    </row>
    <row r="156" spans="1:32" s="17" customFormat="1" ht="12.9" customHeight="1">
      <c r="A156" s="106"/>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row>
    <row r="157" spans="1:32" s="17" customFormat="1" ht="12.9" customHeight="1">
      <c r="A157" s="106"/>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c r="AA157" s="16"/>
      <c r="AB157" s="16"/>
      <c r="AC157" s="16"/>
      <c r="AD157" s="16"/>
      <c r="AE157" s="16"/>
      <c r="AF157" s="16"/>
    </row>
    <row r="158" spans="1:32" s="17" customFormat="1" ht="12.9" customHeight="1">
      <c r="A158" s="106"/>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c r="AA158" s="16"/>
      <c r="AB158" s="16"/>
      <c r="AC158" s="16"/>
      <c r="AD158" s="16"/>
      <c r="AE158" s="16"/>
      <c r="AF158" s="16"/>
    </row>
    <row r="159" spans="1:32" s="17" customFormat="1" ht="12.9" customHeight="1">
      <c r="A159" s="106"/>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row>
    <row r="160" spans="1:32" s="17" customFormat="1" ht="12.9" customHeight="1">
      <c r="A160" s="106"/>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c r="AA160" s="16"/>
      <c r="AB160" s="16"/>
      <c r="AC160" s="16"/>
      <c r="AD160" s="16"/>
      <c r="AE160" s="16"/>
      <c r="AF160" s="16"/>
    </row>
    <row r="161" spans="1:32" s="17" customFormat="1" ht="12.9" customHeight="1">
      <c r="A161" s="106"/>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c r="AA161" s="16"/>
      <c r="AB161" s="16"/>
      <c r="AC161" s="16"/>
      <c r="AD161" s="16"/>
      <c r="AE161" s="16"/>
      <c r="AF161" s="16"/>
    </row>
    <row r="162" spans="1:32" s="17" customFormat="1" ht="12.9" customHeight="1">
      <c r="A162" s="106"/>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c r="AA162" s="16"/>
      <c r="AB162" s="16"/>
      <c r="AC162" s="16"/>
      <c r="AD162" s="16"/>
      <c r="AE162" s="16"/>
      <c r="AF162" s="16"/>
    </row>
    <row r="163" spans="1:32" s="17" customFormat="1" ht="12.9" customHeight="1">
      <c r="A163" s="106"/>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c r="AA163" s="16"/>
      <c r="AB163" s="16"/>
      <c r="AC163" s="16"/>
      <c r="AD163" s="16"/>
      <c r="AE163" s="16"/>
      <c r="AF163" s="16"/>
    </row>
    <row r="164" spans="1:32" s="17" customFormat="1" ht="12.9" customHeight="1">
      <c r="A164" s="106"/>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c r="AA164" s="16"/>
      <c r="AB164" s="16"/>
      <c r="AC164" s="16"/>
      <c r="AD164" s="16"/>
      <c r="AE164" s="16"/>
      <c r="AF164" s="16"/>
    </row>
    <row r="165" spans="1:32" s="17" customFormat="1" ht="12.9" customHeight="1">
      <c r="A165" s="106"/>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c r="AA165" s="16"/>
      <c r="AB165" s="16"/>
      <c r="AC165" s="16"/>
      <c r="AD165" s="16"/>
      <c r="AE165" s="16"/>
      <c r="AF165" s="16"/>
    </row>
    <row r="166" spans="1:32" s="17" customFormat="1" ht="12.9" customHeight="1">
      <c r="A166" s="106"/>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c r="AA166" s="16"/>
      <c r="AB166" s="16"/>
      <c r="AC166" s="16"/>
      <c r="AD166" s="16"/>
      <c r="AE166" s="16"/>
      <c r="AF166" s="16"/>
    </row>
    <row r="167" spans="1:32" s="17" customFormat="1" ht="12.9" customHeight="1">
      <c r="A167" s="106"/>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row>
    <row r="168" spans="1:32" s="17" customFormat="1" ht="12.9" customHeight="1">
      <c r="A168" s="106"/>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c r="AA168" s="16"/>
      <c r="AB168" s="16"/>
      <c r="AC168" s="16"/>
      <c r="AD168" s="16"/>
      <c r="AE168" s="16"/>
      <c r="AF168" s="16"/>
    </row>
    <row r="169" spans="1:32" s="17" customFormat="1" ht="12.9" customHeight="1">
      <c r="A169" s="106"/>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c r="AA169" s="16"/>
      <c r="AB169" s="16"/>
      <c r="AC169" s="16"/>
      <c r="AD169" s="16"/>
      <c r="AE169" s="16"/>
      <c r="AF169" s="16"/>
    </row>
    <row r="170" spans="1:32" s="17" customFormat="1" ht="12.9" customHeight="1">
      <c r="A170" s="10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c r="AA170" s="16"/>
      <c r="AB170" s="16"/>
      <c r="AC170" s="16"/>
      <c r="AD170" s="16"/>
      <c r="AE170" s="16"/>
      <c r="AF170" s="16"/>
    </row>
    <row r="171" spans="1:32" s="17" customFormat="1" ht="12.9" customHeight="1">
      <c r="A171" s="106"/>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c r="AA171" s="16"/>
      <c r="AB171" s="16"/>
      <c r="AC171" s="16"/>
      <c r="AD171" s="16"/>
      <c r="AE171" s="16"/>
      <c r="AF171" s="16"/>
    </row>
    <row r="172" spans="1:32" s="17" customFormat="1" ht="12.9" customHeight="1">
      <c r="A172" s="10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c r="AE172" s="16"/>
      <c r="AF172" s="16"/>
    </row>
    <row r="173" spans="1:32" s="17" customFormat="1" ht="12.9" customHeight="1">
      <c r="A173" s="106"/>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row>
    <row r="174" spans="1:32" s="17" customFormat="1" ht="12.9" customHeight="1">
      <c r="A174" s="10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c r="AA174" s="16"/>
      <c r="AB174" s="16"/>
      <c r="AC174" s="16"/>
      <c r="AD174" s="16"/>
      <c r="AE174" s="16"/>
      <c r="AF174" s="16"/>
    </row>
    <row r="175" spans="1:32" s="17" customFormat="1" ht="12.9" customHeight="1">
      <c r="A175" s="106"/>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c r="AA175" s="16"/>
      <c r="AB175" s="16"/>
      <c r="AC175" s="16"/>
      <c r="AD175" s="16"/>
      <c r="AE175" s="16"/>
      <c r="AF175" s="16"/>
    </row>
    <row r="176" spans="1:32" s="17" customFormat="1" ht="12.9" customHeight="1">
      <c r="A176" s="106"/>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c r="AA176" s="16"/>
      <c r="AB176" s="16"/>
      <c r="AC176" s="16"/>
      <c r="AD176" s="16"/>
      <c r="AE176" s="16"/>
      <c r="AF176" s="16"/>
    </row>
    <row r="177" spans="1:32" s="17" customFormat="1" ht="12.9" customHeight="1">
      <c r="A177" s="10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c r="AA177" s="16"/>
      <c r="AB177" s="16"/>
      <c r="AC177" s="16"/>
      <c r="AD177" s="16"/>
      <c r="AE177" s="16"/>
      <c r="AF177" s="16"/>
    </row>
    <row r="178" spans="1:32" s="17" customFormat="1" ht="12.9" customHeight="1">
      <c r="A178" s="106"/>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c r="AA178" s="16"/>
      <c r="AB178" s="16"/>
      <c r="AC178" s="16"/>
      <c r="AD178" s="16"/>
      <c r="AE178" s="16"/>
      <c r="AF178" s="16"/>
    </row>
    <row r="179" spans="1:32" s="17" customFormat="1" ht="12.9" customHeight="1">
      <c r="A179" s="106"/>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c r="AA179" s="16"/>
      <c r="AB179" s="16"/>
      <c r="AC179" s="16"/>
      <c r="AD179" s="16"/>
      <c r="AE179" s="16"/>
      <c r="AF179" s="16"/>
    </row>
    <row r="180" spans="1:32" s="17" customFormat="1" ht="12.9" customHeight="1">
      <c r="A180" s="106"/>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c r="AA180" s="16"/>
      <c r="AB180" s="16"/>
      <c r="AC180" s="16"/>
      <c r="AD180" s="16"/>
      <c r="AE180" s="16"/>
      <c r="AF180" s="16"/>
    </row>
    <row r="181" spans="1:32" s="17" customFormat="1" ht="12.9" customHeight="1">
      <c r="A181" s="106"/>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c r="AA181" s="16"/>
      <c r="AB181" s="16"/>
      <c r="AC181" s="16"/>
      <c r="AD181" s="16"/>
      <c r="AE181" s="16"/>
      <c r="AF181" s="16"/>
    </row>
    <row r="182" spans="1:32" s="17" customFormat="1" ht="12.9" customHeight="1">
      <c r="A182" s="106"/>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c r="AA182" s="16"/>
      <c r="AB182" s="16"/>
      <c r="AC182" s="16"/>
      <c r="AD182" s="16"/>
      <c r="AE182" s="16"/>
      <c r="AF182" s="16"/>
    </row>
    <row r="183" spans="1:32" s="17" customFormat="1" ht="12.9" customHeight="1">
      <c r="A183" s="106"/>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c r="AA183" s="16"/>
      <c r="AB183" s="16"/>
      <c r="AC183" s="16"/>
      <c r="AD183" s="16"/>
      <c r="AE183" s="16"/>
      <c r="AF183" s="16"/>
    </row>
    <row r="184" spans="1:32" s="17" customFormat="1" ht="12.9" customHeight="1">
      <c r="A184" s="106"/>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c r="AA184" s="16"/>
      <c r="AB184" s="16"/>
      <c r="AC184" s="16"/>
      <c r="AD184" s="16"/>
      <c r="AE184" s="16"/>
      <c r="AF184" s="16"/>
    </row>
    <row r="185" spans="1:32" s="17" customFormat="1" ht="12.9" customHeight="1">
      <c r="A185" s="106"/>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c r="AA185" s="16"/>
      <c r="AB185" s="16"/>
      <c r="AC185" s="16"/>
      <c r="AD185" s="16"/>
      <c r="AE185" s="16"/>
      <c r="AF185" s="16"/>
    </row>
    <row r="186" spans="1:32" s="17" customFormat="1" ht="12.9" customHeight="1">
      <c r="A186" s="106"/>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c r="AA186" s="16"/>
      <c r="AB186" s="16"/>
      <c r="AC186" s="16"/>
      <c r="AD186" s="16"/>
      <c r="AE186" s="16"/>
      <c r="AF186" s="16"/>
    </row>
    <row r="187" spans="1:32" s="17" customFormat="1" ht="12.9" customHeight="1">
      <c r="A187" s="106"/>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c r="AA187" s="16"/>
      <c r="AB187" s="16"/>
      <c r="AC187" s="16"/>
      <c r="AD187" s="16"/>
      <c r="AE187" s="16"/>
      <c r="AF187" s="16"/>
    </row>
    <row r="188" spans="1:32" s="17" customFormat="1" ht="12.9" customHeight="1">
      <c r="A188" s="106"/>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c r="AA188" s="16"/>
      <c r="AB188" s="16"/>
      <c r="AC188" s="16"/>
      <c r="AD188" s="16"/>
      <c r="AE188" s="16"/>
      <c r="AF188" s="16"/>
    </row>
    <row r="189" spans="1:32" s="17" customFormat="1" ht="12.9" customHeight="1">
      <c r="A189" s="106"/>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c r="AA189" s="16"/>
      <c r="AB189" s="16"/>
      <c r="AC189" s="16"/>
      <c r="AD189" s="16"/>
      <c r="AE189" s="16"/>
      <c r="AF189" s="16"/>
    </row>
    <row r="190" spans="1:32" s="17" customFormat="1" ht="12.9" customHeight="1">
      <c r="A190" s="106"/>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row>
    <row r="191" spans="1:32" s="17" customFormat="1" ht="12.9" customHeight="1">
      <c r="A191" s="106"/>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c r="AA191" s="16"/>
      <c r="AB191" s="16"/>
      <c r="AC191" s="16"/>
      <c r="AD191" s="16"/>
      <c r="AE191" s="16"/>
      <c r="AF191" s="16"/>
    </row>
    <row r="192" spans="1:32" s="17" customFormat="1" ht="12.9" customHeight="1">
      <c r="A192" s="106"/>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c r="AA192" s="16"/>
      <c r="AB192" s="16"/>
      <c r="AC192" s="16"/>
      <c r="AD192" s="16"/>
      <c r="AE192" s="16"/>
      <c r="AF192" s="16"/>
    </row>
    <row r="193" spans="1:32" s="17" customFormat="1" ht="12.9" customHeight="1">
      <c r="A193" s="106"/>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c r="AA193" s="16"/>
      <c r="AB193" s="16"/>
      <c r="AC193" s="16"/>
      <c r="AD193" s="16"/>
      <c r="AE193" s="16"/>
      <c r="AF193" s="16"/>
    </row>
    <row r="194" spans="1:32" s="17" customFormat="1" ht="12.9" customHeight="1">
      <c r="A194" s="106"/>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c r="AA194" s="16"/>
      <c r="AB194" s="16"/>
      <c r="AC194" s="16"/>
      <c r="AD194" s="16"/>
      <c r="AE194" s="16"/>
      <c r="AF194" s="16"/>
    </row>
    <row r="195" spans="1:32" s="17" customFormat="1" ht="12.9" customHeight="1">
      <c r="A195" s="106"/>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c r="AA195" s="16"/>
      <c r="AB195" s="16"/>
      <c r="AC195" s="16"/>
      <c r="AD195" s="16"/>
      <c r="AE195" s="16"/>
      <c r="AF195" s="16"/>
    </row>
    <row r="196" spans="1:32" s="17" customFormat="1" ht="12.9" customHeight="1">
      <c r="A196" s="106"/>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c r="AA196" s="16"/>
      <c r="AB196" s="16"/>
      <c r="AC196" s="16"/>
      <c r="AD196" s="16"/>
      <c r="AE196" s="16"/>
      <c r="AF196" s="16"/>
    </row>
    <row r="197" spans="1:32" s="17" customFormat="1" ht="12.9" customHeight="1">
      <c r="A197" s="106"/>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c r="AA197" s="16"/>
      <c r="AB197" s="16"/>
      <c r="AC197" s="16"/>
      <c r="AD197" s="16"/>
      <c r="AE197" s="16"/>
      <c r="AF197" s="16"/>
    </row>
    <row r="198" spans="1:32" s="17" customFormat="1" ht="12.9" customHeight="1">
      <c r="A198" s="106"/>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c r="AA198" s="16"/>
      <c r="AB198" s="16"/>
      <c r="AC198" s="16"/>
      <c r="AD198" s="16"/>
      <c r="AE198" s="16"/>
      <c r="AF198" s="16"/>
    </row>
    <row r="199" spans="1:32" s="17" customFormat="1" ht="12.9" customHeight="1">
      <c r="A199" s="106"/>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c r="AA199" s="16"/>
      <c r="AB199" s="16"/>
      <c r="AC199" s="16"/>
      <c r="AD199" s="16"/>
      <c r="AE199" s="16"/>
      <c r="AF199" s="16"/>
    </row>
    <row r="200" spans="1:32" s="17" customFormat="1" ht="12.9" customHeight="1">
      <c r="A200" s="106"/>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c r="AA200" s="16"/>
      <c r="AB200" s="16"/>
      <c r="AC200" s="16"/>
      <c r="AD200" s="16"/>
      <c r="AE200" s="16"/>
      <c r="AF200" s="16"/>
    </row>
    <row r="201" spans="1:32" s="17" customFormat="1" ht="12.9" customHeight="1">
      <c r="A201" s="106"/>
      <c r="B201" s="16"/>
      <c r="C201" s="16"/>
      <c r="D201" s="16"/>
      <c r="E201" s="16"/>
      <c r="F201" s="16"/>
      <c r="G201" s="16"/>
      <c r="H201" s="16"/>
      <c r="I201" s="16"/>
      <c r="J201" s="16"/>
      <c r="K201" s="16"/>
      <c r="L201" s="16"/>
      <c r="M201" s="16"/>
      <c r="N201" s="16"/>
      <c r="O201" s="16"/>
      <c r="P201" s="16"/>
      <c r="Q201" s="16"/>
      <c r="R201" s="16"/>
      <c r="S201" s="16"/>
      <c r="T201" s="16"/>
      <c r="U201" s="16"/>
      <c r="V201" s="16"/>
      <c r="W201" s="16"/>
      <c r="X201" s="16"/>
      <c r="Y201" s="16"/>
      <c r="Z201" s="16"/>
      <c r="AA201" s="16"/>
      <c r="AB201" s="16"/>
      <c r="AC201" s="16"/>
      <c r="AD201" s="16"/>
      <c r="AE201" s="16"/>
      <c r="AF201" s="16"/>
    </row>
    <row r="202" spans="1:32" s="17" customFormat="1" ht="12.9" customHeight="1">
      <c r="A202" s="106"/>
      <c r="B202" s="16"/>
      <c r="C202" s="16"/>
      <c r="D202" s="16"/>
      <c r="E202" s="16"/>
      <c r="F202" s="16"/>
      <c r="G202" s="16"/>
      <c r="H202" s="16"/>
      <c r="I202" s="16"/>
      <c r="J202" s="16"/>
      <c r="K202" s="16"/>
      <c r="L202" s="16"/>
      <c r="M202" s="16"/>
      <c r="N202" s="16"/>
      <c r="O202" s="16"/>
      <c r="P202" s="16"/>
      <c r="Q202" s="16"/>
      <c r="R202" s="16"/>
      <c r="S202" s="16"/>
      <c r="T202" s="16"/>
      <c r="U202" s="16"/>
      <c r="V202" s="16"/>
      <c r="W202" s="16"/>
      <c r="X202" s="16"/>
      <c r="Y202" s="16"/>
      <c r="Z202" s="16"/>
      <c r="AA202" s="16"/>
      <c r="AB202" s="16"/>
      <c r="AC202" s="16"/>
      <c r="AD202" s="16"/>
      <c r="AE202" s="16"/>
      <c r="AF202" s="16"/>
    </row>
    <row r="203" spans="1:32" s="17" customFormat="1" ht="12.9" customHeight="1">
      <c r="A203" s="106"/>
      <c r="B203" s="16"/>
      <c r="C203" s="16"/>
      <c r="D203" s="16"/>
      <c r="E203" s="16"/>
      <c r="F203" s="16"/>
      <c r="G203" s="16"/>
      <c r="H203" s="16"/>
      <c r="I203" s="16"/>
      <c r="J203" s="16"/>
      <c r="K203" s="16"/>
      <c r="L203" s="16"/>
      <c r="M203" s="16"/>
      <c r="N203" s="16"/>
      <c r="O203" s="16"/>
      <c r="P203" s="16"/>
      <c r="Q203" s="16"/>
      <c r="R203" s="16"/>
      <c r="S203" s="16"/>
      <c r="T203" s="16"/>
      <c r="U203" s="16"/>
      <c r="V203" s="16"/>
      <c r="W203" s="16"/>
      <c r="X203" s="16"/>
      <c r="Y203" s="16"/>
      <c r="Z203" s="16"/>
      <c r="AA203" s="16"/>
      <c r="AB203" s="16"/>
      <c r="AC203" s="16"/>
      <c r="AD203" s="16"/>
      <c r="AE203" s="16"/>
      <c r="AF203" s="16"/>
    </row>
    <row r="204" spans="1:32" s="17" customFormat="1" ht="12.9" customHeight="1">
      <c r="A204" s="106"/>
      <c r="B204" s="16"/>
      <c r="C204" s="16"/>
      <c r="D204" s="16"/>
      <c r="E204" s="16"/>
      <c r="F204" s="16"/>
      <c r="G204" s="16"/>
      <c r="H204" s="16"/>
      <c r="I204" s="16"/>
      <c r="J204" s="16"/>
      <c r="K204" s="16"/>
      <c r="L204" s="16"/>
      <c r="M204" s="16"/>
      <c r="N204" s="16"/>
      <c r="O204" s="16"/>
      <c r="P204" s="16"/>
      <c r="Q204" s="16"/>
      <c r="R204" s="16"/>
      <c r="S204" s="16"/>
      <c r="T204" s="16"/>
      <c r="U204" s="16"/>
      <c r="V204" s="16"/>
      <c r="W204" s="16"/>
      <c r="X204" s="16"/>
      <c r="Y204" s="16"/>
      <c r="Z204" s="16"/>
      <c r="AA204" s="16"/>
      <c r="AB204" s="16"/>
      <c r="AC204" s="16"/>
      <c r="AD204" s="16"/>
      <c r="AE204" s="16"/>
      <c r="AF204" s="16"/>
    </row>
    <row r="205" spans="1:32" s="17" customFormat="1" ht="12.9" customHeight="1">
      <c r="A205" s="106"/>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6"/>
      <c r="AE205" s="16"/>
      <c r="AF205" s="16"/>
    </row>
    <row r="206" spans="1:32" s="17" customFormat="1" ht="12.9" customHeight="1">
      <c r="A206" s="106"/>
      <c r="B206" s="16"/>
      <c r="C206" s="16"/>
      <c r="D206" s="16"/>
      <c r="E206" s="16"/>
      <c r="F206" s="16"/>
      <c r="G206" s="16"/>
      <c r="H206" s="16"/>
      <c r="I206" s="16"/>
      <c r="J206" s="16"/>
      <c r="K206" s="16"/>
      <c r="L206" s="16"/>
      <c r="M206" s="16"/>
      <c r="N206" s="16"/>
      <c r="O206" s="16"/>
      <c r="P206" s="16"/>
      <c r="Q206" s="16"/>
      <c r="R206" s="16"/>
      <c r="S206" s="16"/>
      <c r="T206" s="16"/>
      <c r="U206" s="16"/>
      <c r="V206" s="16"/>
      <c r="W206" s="16"/>
      <c r="X206" s="16"/>
      <c r="Y206" s="16"/>
      <c r="Z206" s="16"/>
      <c r="AA206" s="16"/>
      <c r="AB206" s="16"/>
      <c r="AC206" s="16"/>
      <c r="AD206" s="16"/>
      <c r="AE206" s="16"/>
      <c r="AF206" s="16"/>
    </row>
    <row r="207" spans="1:32" s="17" customFormat="1" ht="12.9" customHeight="1">
      <c r="A207" s="106"/>
      <c r="B207" s="16"/>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row>
    <row r="208" spans="1:32" s="17" customFormat="1" ht="12.9" customHeight="1">
      <c r="A208" s="106"/>
      <c r="B208" s="16"/>
      <c r="C208" s="16"/>
      <c r="D208" s="16"/>
      <c r="E208" s="16"/>
      <c r="F208" s="16"/>
      <c r="G208" s="16"/>
      <c r="H208" s="16"/>
      <c r="I208" s="16"/>
      <c r="J208" s="16"/>
      <c r="K208" s="16"/>
      <c r="L208" s="16"/>
      <c r="M208" s="16"/>
      <c r="N208" s="16"/>
      <c r="O208" s="16"/>
      <c r="P208" s="16"/>
      <c r="Q208" s="16"/>
      <c r="R208" s="16"/>
      <c r="S208" s="16"/>
      <c r="T208" s="16"/>
      <c r="U208" s="16"/>
      <c r="V208" s="16"/>
      <c r="W208" s="16"/>
      <c r="X208" s="16"/>
      <c r="Y208" s="16"/>
      <c r="Z208" s="16"/>
      <c r="AA208" s="16"/>
      <c r="AB208" s="16"/>
      <c r="AC208" s="16"/>
      <c r="AD208" s="16"/>
      <c r="AE208" s="16"/>
      <c r="AF208" s="16"/>
    </row>
    <row r="209" spans="1:32" s="17" customFormat="1" ht="12.9" customHeight="1">
      <c r="A209" s="106"/>
      <c r="B209" s="16"/>
      <c r="C209" s="16"/>
      <c r="D209" s="16"/>
      <c r="E209" s="16"/>
      <c r="F209" s="16"/>
      <c r="G209" s="16"/>
      <c r="H209" s="16"/>
      <c r="I209" s="16"/>
      <c r="J209" s="16"/>
      <c r="K209" s="16"/>
      <c r="L209" s="16"/>
      <c r="M209" s="16"/>
      <c r="N209" s="16"/>
      <c r="O209" s="16"/>
      <c r="P209" s="16"/>
      <c r="Q209" s="16"/>
      <c r="R209" s="16"/>
      <c r="S209" s="16"/>
      <c r="T209" s="16"/>
      <c r="U209" s="16"/>
      <c r="V209" s="16"/>
      <c r="W209" s="16"/>
      <c r="X209" s="16"/>
      <c r="Y209" s="16"/>
      <c r="Z209" s="16"/>
      <c r="AA209" s="16"/>
      <c r="AB209" s="16"/>
      <c r="AC209" s="16"/>
      <c r="AD209" s="16"/>
      <c r="AE209" s="16"/>
      <c r="AF209" s="16"/>
    </row>
    <row r="210" spans="1:32" s="17" customFormat="1" ht="12.9" customHeight="1">
      <c r="A210" s="106"/>
      <c r="B210" s="16"/>
      <c r="C210" s="16"/>
      <c r="D210" s="16"/>
      <c r="E210" s="16"/>
      <c r="F210" s="16"/>
      <c r="G210" s="16"/>
      <c r="H210" s="16"/>
      <c r="I210" s="16"/>
      <c r="J210" s="16"/>
      <c r="K210" s="16"/>
      <c r="L210" s="16"/>
      <c r="M210" s="16"/>
      <c r="N210" s="16"/>
      <c r="O210" s="16"/>
      <c r="P210" s="16"/>
      <c r="Q210" s="16"/>
      <c r="R210" s="16"/>
      <c r="S210" s="16"/>
      <c r="T210" s="16"/>
      <c r="U210" s="16"/>
      <c r="V210" s="16"/>
      <c r="W210" s="16"/>
      <c r="X210" s="16"/>
      <c r="Y210" s="16"/>
      <c r="Z210" s="16"/>
      <c r="AA210" s="16"/>
      <c r="AB210" s="16"/>
      <c r="AC210" s="16"/>
      <c r="AD210" s="16"/>
      <c r="AE210" s="16"/>
      <c r="AF210" s="16"/>
    </row>
    <row r="211" spans="1:32" s="17" customFormat="1" ht="12.9" customHeight="1">
      <c r="A211" s="106"/>
      <c r="B211" s="16"/>
      <c r="C211" s="16"/>
      <c r="D211" s="16"/>
      <c r="E211" s="16"/>
      <c r="F211" s="16"/>
      <c r="G211" s="16"/>
      <c r="H211" s="16"/>
      <c r="I211" s="16"/>
      <c r="J211" s="16"/>
      <c r="K211" s="16"/>
      <c r="L211" s="16"/>
      <c r="M211" s="16"/>
      <c r="N211" s="16"/>
      <c r="O211" s="16"/>
      <c r="P211" s="16"/>
      <c r="Q211" s="16"/>
      <c r="R211" s="16"/>
      <c r="S211" s="16"/>
      <c r="T211" s="16"/>
      <c r="U211" s="16"/>
      <c r="V211" s="16"/>
      <c r="W211" s="16"/>
      <c r="X211" s="16"/>
      <c r="Y211" s="16"/>
      <c r="Z211" s="16"/>
      <c r="AA211" s="16"/>
      <c r="AB211" s="16"/>
      <c r="AC211" s="16"/>
      <c r="AD211" s="16"/>
      <c r="AE211" s="16"/>
      <c r="AF211" s="16"/>
    </row>
    <row r="212" spans="1:32" s="17" customFormat="1" ht="12.9" customHeight="1">
      <c r="A212" s="106"/>
      <c r="B212" s="16"/>
      <c r="C212" s="16"/>
      <c r="D212" s="16"/>
      <c r="E212" s="16"/>
      <c r="F212" s="16"/>
      <c r="G212" s="16"/>
      <c r="H212" s="16"/>
      <c r="I212" s="16"/>
      <c r="J212" s="16"/>
      <c r="K212" s="16"/>
      <c r="L212" s="16"/>
      <c r="M212" s="16"/>
      <c r="N212" s="16"/>
      <c r="O212" s="16"/>
      <c r="P212" s="16"/>
      <c r="Q212" s="16"/>
      <c r="R212" s="16"/>
      <c r="S212" s="16"/>
      <c r="T212" s="16"/>
      <c r="U212" s="16"/>
      <c r="V212" s="16"/>
      <c r="W212" s="16"/>
      <c r="X212" s="16"/>
      <c r="Y212" s="16"/>
      <c r="Z212" s="16"/>
      <c r="AA212" s="16"/>
      <c r="AB212" s="16"/>
      <c r="AC212" s="16"/>
      <c r="AD212" s="16"/>
      <c r="AE212" s="16"/>
      <c r="AF212" s="16"/>
    </row>
    <row r="213" spans="1:32" s="17" customFormat="1" ht="12.9" customHeight="1">
      <c r="A213" s="106"/>
      <c r="B213" s="16"/>
      <c r="C213" s="16"/>
      <c r="D213" s="16"/>
      <c r="E213" s="16"/>
      <c r="F213" s="16"/>
      <c r="G213" s="16"/>
      <c r="H213" s="16"/>
      <c r="I213" s="16"/>
      <c r="J213" s="16"/>
      <c r="K213" s="16"/>
      <c r="L213" s="16"/>
      <c r="M213" s="16"/>
      <c r="N213" s="16"/>
      <c r="O213" s="16"/>
      <c r="P213" s="16"/>
      <c r="Q213" s="16"/>
      <c r="R213" s="16"/>
      <c r="S213" s="16"/>
      <c r="T213" s="16"/>
      <c r="U213" s="16"/>
      <c r="V213" s="16"/>
      <c r="W213" s="16"/>
      <c r="X213" s="16"/>
      <c r="Y213" s="16"/>
      <c r="Z213" s="16"/>
      <c r="AA213" s="16"/>
      <c r="AB213" s="16"/>
      <c r="AC213" s="16"/>
      <c r="AD213" s="16"/>
      <c r="AE213" s="16"/>
      <c r="AF213" s="16"/>
    </row>
    <row r="214" spans="1:32" s="17" customFormat="1" ht="12.9" customHeight="1">
      <c r="A214" s="106"/>
      <c r="B214" s="16"/>
      <c r="C214" s="16"/>
      <c r="D214" s="16"/>
      <c r="E214" s="16"/>
      <c r="F214" s="16"/>
      <c r="G214" s="16"/>
      <c r="H214" s="16"/>
      <c r="I214" s="16"/>
      <c r="J214" s="16"/>
      <c r="K214" s="16"/>
      <c r="L214" s="16"/>
      <c r="M214" s="16"/>
      <c r="N214" s="16"/>
      <c r="O214" s="16"/>
      <c r="P214" s="16"/>
      <c r="Q214" s="16"/>
      <c r="R214" s="16"/>
      <c r="S214" s="16"/>
      <c r="T214" s="16"/>
      <c r="U214" s="16"/>
      <c r="V214" s="16"/>
      <c r="W214" s="16"/>
      <c r="X214" s="16"/>
      <c r="Y214" s="16"/>
      <c r="Z214" s="16"/>
      <c r="AA214" s="16"/>
      <c r="AB214" s="16"/>
      <c r="AC214" s="16"/>
      <c r="AD214" s="16"/>
      <c r="AE214" s="16"/>
      <c r="AF214" s="16"/>
    </row>
    <row r="215" spans="1:32" s="17" customFormat="1" ht="12.9" customHeight="1">
      <c r="A215" s="106"/>
      <c r="B215" s="16"/>
      <c r="C215" s="16"/>
      <c r="D215" s="16"/>
      <c r="E215" s="16"/>
      <c r="F215" s="16"/>
      <c r="G215" s="16"/>
      <c r="H215" s="16"/>
      <c r="I215" s="16"/>
      <c r="J215" s="16"/>
      <c r="K215" s="16"/>
      <c r="L215" s="16"/>
      <c r="M215" s="16"/>
      <c r="N215" s="16"/>
      <c r="O215" s="16"/>
      <c r="P215" s="16"/>
      <c r="Q215" s="16"/>
      <c r="R215" s="16"/>
      <c r="S215" s="16"/>
      <c r="T215" s="16"/>
      <c r="U215" s="16"/>
      <c r="V215" s="16"/>
      <c r="W215" s="16"/>
      <c r="X215" s="16"/>
      <c r="Y215" s="16"/>
      <c r="Z215" s="16"/>
      <c r="AA215" s="16"/>
      <c r="AB215" s="16"/>
      <c r="AC215" s="16"/>
      <c r="AD215" s="16"/>
      <c r="AE215" s="16"/>
      <c r="AF215" s="16"/>
    </row>
    <row r="216" spans="1:32" s="17" customFormat="1" ht="12.9" customHeight="1">
      <c r="A216" s="106"/>
      <c r="B216" s="16"/>
      <c r="C216" s="16"/>
      <c r="D216" s="16"/>
      <c r="E216" s="16"/>
      <c r="F216" s="16"/>
      <c r="G216" s="16"/>
      <c r="H216" s="16"/>
      <c r="I216" s="16"/>
      <c r="J216" s="16"/>
      <c r="K216" s="16"/>
      <c r="L216" s="16"/>
      <c r="M216" s="16"/>
      <c r="N216" s="16"/>
      <c r="O216" s="16"/>
      <c r="P216" s="16"/>
      <c r="Q216" s="16"/>
      <c r="R216" s="16"/>
      <c r="S216" s="16"/>
      <c r="T216" s="16"/>
      <c r="U216" s="16"/>
      <c r="V216" s="16"/>
      <c r="W216" s="16"/>
      <c r="X216" s="16"/>
      <c r="Y216" s="16"/>
      <c r="Z216" s="16"/>
      <c r="AA216" s="16"/>
      <c r="AB216" s="16"/>
      <c r="AC216" s="16"/>
      <c r="AD216" s="16"/>
      <c r="AE216" s="16"/>
      <c r="AF216" s="16"/>
    </row>
    <row r="217" spans="1:32" s="17" customFormat="1" ht="12.9" customHeight="1">
      <c r="A217" s="106"/>
      <c r="B217" s="16"/>
      <c r="C217" s="16"/>
      <c r="D217" s="16"/>
      <c r="E217" s="16"/>
      <c r="F217" s="16"/>
      <c r="G217" s="16"/>
      <c r="H217" s="16"/>
      <c r="I217" s="16"/>
      <c r="J217" s="16"/>
      <c r="K217" s="16"/>
      <c r="L217" s="16"/>
      <c r="M217" s="16"/>
      <c r="N217" s="16"/>
      <c r="O217" s="16"/>
      <c r="P217" s="16"/>
      <c r="Q217" s="16"/>
      <c r="R217" s="16"/>
      <c r="S217" s="16"/>
      <c r="T217" s="16"/>
      <c r="U217" s="16"/>
      <c r="V217" s="16"/>
      <c r="W217" s="16"/>
      <c r="X217" s="16"/>
      <c r="Y217" s="16"/>
      <c r="Z217" s="16"/>
      <c r="AA217" s="16"/>
      <c r="AB217" s="16"/>
      <c r="AC217" s="16"/>
      <c r="AD217" s="16"/>
      <c r="AE217" s="16"/>
      <c r="AF217" s="16"/>
    </row>
    <row r="218" spans="1:32" s="17" customFormat="1" ht="12.9" customHeight="1">
      <c r="A218" s="106"/>
      <c r="B218" s="16"/>
      <c r="C218" s="16"/>
      <c r="D218" s="16"/>
      <c r="E218" s="16"/>
      <c r="F218" s="16"/>
      <c r="G218" s="16"/>
      <c r="H218" s="16"/>
      <c r="I218" s="16"/>
      <c r="J218" s="16"/>
      <c r="K218" s="16"/>
      <c r="L218" s="16"/>
      <c r="M218" s="16"/>
      <c r="N218" s="16"/>
      <c r="O218" s="16"/>
      <c r="P218" s="16"/>
      <c r="Q218" s="16"/>
      <c r="R218" s="16"/>
      <c r="S218" s="16"/>
      <c r="T218" s="16"/>
      <c r="U218" s="16"/>
      <c r="V218" s="16"/>
      <c r="W218" s="16"/>
      <c r="X218" s="16"/>
      <c r="Y218" s="16"/>
      <c r="Z218" s="16"/>
      <c r="AA218" s="16"/>
      <c r="AB218" s="16"/>
      <c r="AC218" s="16"/>
      <c r="AD218" s="16"/>
      <c r="AE218" s="16"/>
      <c r="AF218" s="16"/>
    </row>
    <row r="219" spans="1:32" s="17" customFormat="1" ht="12.9" customHeight="1">
      <c r="A219" s="106"/>
      <c r="B219" s="16"/>
      <c r="C219" s="16"/>
      <c r="D219" s="16"/>
      <c r="E219" s="16"/>
      <c r="F219" s="16"/>
      <c r="G219" s="16"/>
      <c r="H219" s="16"/>
      <c r="I219" s="16"/>
      <c r="J219" s="16"/>
      <c r="K219" s="16"/>
      <c r="L219" s="16"/>
      <c r="M219" s="16"/>
      <c r="N219" s="16"/>
      <c r="O219" s="16"/>
      <c r="P219" s="16"/>
      <c r="Q219" s="16"/>
      <c r="R219" s="16"/>
      <c r="S219" s="16"/>
      <c r="T219" s="16"/>
      <c r="U219" s="16"/>
      <c r="V219" s="16"/>
      <c r="W219" s="16"/>
      <c r="X219" s="16"/>
      <c r="Y219" s="16"/>
      <c r="Z219" s="16"/>
      <c r="AA219" s="16"/>
      <c r="AB219" s="16"/>
      <c r="AC219" s="16"/>
      <c r="AD219" s="16"/>
      <c r="AE219" s="16"/>
      <c r="AF219" s="16"/>
    </row>
    <row r="220" spans="1:32" s="17" customFormat="1" ht="12.9" customHeight="1">
      <c r="A220" s="106"/>
      <c r="B220" s="16"/>
      <c r="C220" s="16"/>
      <c r="D220" s="16"/>
      <c r="E220" s="16"/>
      <c r="F220" s="16"/>
      <c r="G220" s="16"/>
      <c r="H220" s="16"/>
      <c r="I220" s="16"/>
      <c r="J220" s="16"/>
      <c r="K220" s="16"/>
      <c r="L220" s="16"/>
      <c r="M220" s="16"/>
      <c r="N220" s="16"/>
      <c r="O220" s="16"/>
      <c r="P220" s="16"/>
      <c r="Q220" s="16"/>
      <c r="R220" s="16"/>
      <c r="S220" s="16"/>
      <c r="T220" s="16"/>
      <c r="U220" s="16"/>
      <c r="V220" s="16"/>
      <c r="W220" s="16"/>
      <c r="X220" s="16"/>
      <c r="Y220" s="16"/>
      <c r="Z220" s="16"/>
      <c r="AA220" s="16"/>
      <c r="AB220" s="16"/>
      <c r="AC220" s="16"/>
      <c r="AD220" s="16"/>
      <c r="AE220" s="16"/>
      <c r="AF220" s="16"/>
    </row>
    <row r="221" spans="1:32" s="17" customFormat="1" ht="12.9" customHeight="1">
      <c r="A221" s="106"/>
      <c r="B221" s="16"/>
      <c r="C221" s="16"/>
      <c r="D221" s="16"/>
      <c r="E221" s="16"/>
      <c r="F221" s="16"/>
      <c r="G221" s="16"/>
      <c r="H221" s="16"/>
      <c r="I221" s="16"/>
      <c r="J221" s="16"/>
      <c r="K221" s="16"/>
      <c r="L221" s="16"/>
      <c r="M221" s="16"/>
      <c r="N221" s="16"/>
      <c r="O221" s="16"/>
      <c r="P221" s="16"/>
      <c r="Q221" s="16"/>
      <c r="R221" s="16"/>
      <c r="S221" s="16"/>
      <c r="T221" s="16"/>
      <c r="U221" s="16"/>
      <c r="V221" s="16"/>
      <c r="W221" s="16"/>
      <c r="X221" s="16"/>
      <c r="Y221" s="16"/>
      <c r="Z221" s="16"/>
      <c r="AA221" s="16"/>
      <c r="AB221" s="16"/>
      <c r="AC221" s="16"/>
      <c r="AD221" s="16"/>
      <c r="AE221" s="16"/>
      <c r="AF221" s="16"/>
    </row>
    <row r="222" spans="1:32" s="17" customFormat="1" ht="12.9" customHeight="1">
      <c r="A222" s="106"/>
      <c r="B222" s="16"/>
      <c r="C222" s="16"/>
      <c r="D222" s="16"/>
      <c r="E222" s="16"/>
      <c r="F222" s="16"/>
      <c r="G222" s="16"/>
      <c r="H222" s="16"/>
      <c r="I222" s="16"/>
      <c r="J222" s="16"/>
      <c r="K222" s="16"/>
      <c r="L222" s="16"/>
      <c r="M222" s="16"/>
      <c r="N222" s="16"/>
      <c r="O222" s="16"/>
      <c r="P222" s="16"/>
      <c r="Q222" s="16"/>
      <c r="R222" s="16"/>
      <c r="S222" s="16"/>
      <c r="T222" s="16"/>
      <c r="U222" s="16"/>
      <c r="V222" s="16"/>
      <c r="W222" s="16"/>
      <c r="X222" s="16"/>
      <c r="Y222" s="16"/>
      <c r="Z222" s="16"/>
      <c r="AA222" s="16"/>
      <c r="AB222" s="16"/>
      <c r="AC222" s="16"/>
      <c r="AD222" s="16"/>
      <c r="AE222" s="16"/>
      <c r="AF222" s="16"/>
    </row>
    <row r="223" spans="1:32" s="17" customFormat="1" ht="12.9" customHeight="1">
      <c r="A223" s="106"/>
      <c r="B223" s="16"/>
      <c r="C223" s="16"/>
      <c r="D223" s="16"/>
      <c r="E223" s="16"/>
      <c r="F223" s="16"/>
      <c r="G223" s="16"/>
      <c r="H223" s="16"/>
      <c r="I223" s="16"/>
      <c r="J223" s="16"/>
      <c r="K223" s="16"/>
      <c r="L223" s="16"/>
      <c r="M223" s="16"/>
      <c r="N223" s="16"/>
      <c r="O223" s="16"/>
      <c r="P223" s="16"/>
      <c r="Q223" s="16"/>
      <c r="R223" s="16"/>
      <c r="S223" s="16"/>
      <c r="T223" s="16"/>
      <c r="U223" s="16"/>
      <c r="V223" s="16"/>
      <c r="W223" s="16"/>
      <c r="X223" s="16"/>
      <c r="Y223" s="16"/>
      <c r="Z223" s="16"/>
      <c r="AA223" s="16"/>
      <c r="AB223" s="16"/>
      <c r="AC223" s="16"/>
      <c r="AD223" s="16"/>
      <c r="AE223" s="16"/>
      <c r="AF223" s="16"/>
    </row>
    <row r="224" spans="1:32" s="17" customFormat="1" ht="12.9" customHeight="1">
      <c r="A224" s="106"/>
      <c r="B224" s="16"/>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row>
    <row r="225" spans="1:32" s="17" customFormat="1" ht="12.9" customHeight="1">
      <c r="A225" s="106"/>
      <c r="B225" s="16"/>
      <c r="C225" s="16"/>
      <c r="D225" s="16"/>
      <c r="E225" s="16"/>
      <c r="F225" s="16"/>
      <c r="G225" s="16"/>
      <c r="H225" s="16"/>
      <c r="I225" s="16"/>
      <c r="J225" s="16"/>
      <c r="K225" s="16"/>
      <c r="L225" s="16"/>
      <c r="M225" s="16"/>
      <c r="N225" s="16"/>
      <c r="O225" s="16"/>
      <c r="P225" s="16"/>
      <c r="Q225" s="16"/>
      <c r="R225" s="16"/>
      <c r="S225" s="16"/>
      <c r="T225" s="16"/>
      <c r="U225" s="16"/>
      <c r="V225" s="16"/>
      <c r="W225" s="16"/>
      <c r="X225" s="16"/>
      <c r="Y225" s="16"/>
      <c r="Z225" s="16"/>
      <c r="AA225" s="16"/>
      <c r="AB225" s="16"/>
      <c r="AC225" s="16"/>
      <c r="AD225" s="16"/>
      <c r="AE225" s="16"/>
      <c r="AF225" s="16"/>
    </row>
    <row r="226" spans="1:32" s="17" customFormat="1" ht="12.9" customHeight="1">
      <c r="A226" s="106"/>
      <c r="B226" s="16"/>
      <c r="C226" s="16"/>
      <c r="D226" s="16"/>
      <c r="E226" s="16"/>
      <c r="F226" s="16"/>
      <c r="G226" s="16"/>
      <c r="H226" s="16"/>
      <c r="I226" s="16"/>
      <c r="J226" s="16"/>
      <c r="K226" s="16"/>
      <c r="L226" s="16"/>
      <c r="M226" s="16"/>
      <c r="N226" s="16"/>
      <c r="O226" s="16"/>
      <c r="P226" s="16"/>
      <c r="Q226" s="16"/>
      <c r="R226" s="16"/>
      <c r="S226" s="16"/>
      <c r="T226" s="16"/>
      <c r="U226" s="16"/>
      <c r="V226" s="16"/>
      <c r="W226" s="16"/>
      <c r="X226" s="16"/>
      <c r="Y226" s="16"/>
      <c r="Z226" s="16"/>
      <c r="AA226" s="16"/>
      <c r="AB226" s="16"/>
      <c r="AC226" s="16"/>
      <c r="AD226" s="16"/>
      <c r="AE226" s="16"/>
      <c r="AF226" s="16"/>
    </row>
    <row r="227" spans="1:32" s="17" customFormat="1" ht="12.9" customHeight="1">
      <c r="A227" s="106"/>
      <c r="B227" s="16"/>
      <c r="C227" s="16"/>
      <c r="D227" s="16"/>
      <c r="E227" s="16"/>
      <c r="F227" s="16"/>
      <c r="G227" s="16"/>
      <c r="H227" s="16"/>
      <c r="I227" s="16"/>
      <c r="J227" s="16"/>
      <c r="K227" s="16"/>
      <c r="L227" s="16"/>
      <c r="M227" s="16"/>
      <c r="N227" s="16"/>
      <c r="O227" s="16"/>
      <c r="P227" s="16"/>
      <c r="Q227" s="16"/>
      <c r="R227" s="16"/>
      <c r="S227" s="16"/>
      <c r="T227" s="16"/>
      <c r="U227" s="16"/>
      <c r="V227" s="16"/>
      <c r="W227" s="16"/>
      <c r="X227" s="16"/>
      <c r="Y227" s="16"/>
      <c r="Z227" s="16"/>
      <c r="AA227" s="16"/>
      <c r="AB227" s="16"/>
      <c r="AC227" s="16"/>
      <c r="AD227" s="16"/>
      <c r="AE227" s="16"/>
      <c r="AF227" s="16"/>
    </row>
    <row r="228" spans="1:32" s="17" customFormat="1" ht="12.9" customHeight="1">
      <c r="A228" s="106"/>
      <c r="B228" s="16"/>
      <c r="C228" s="16"/>
      <c r="D228" s="16"/>
      <c r="E228" s="16"/>
      <c r="F228" s="16"/>
      <c r="G228" s="16"/>
      <c r="H228" s="16"/>
      <c r="I228" s="16"/>
      <c r="J228" s="16"/>
      <c r="K228" s="16"/>
      <c r="L228" s="16"/>
      <c r="M228" s="16"/>
      <c r="N228" s="16"/>
      <c r="O228" s="16"/>
      <c r="P228" s="16"/>
      <c r="Q228" s="16"/>
      <c r="R228" s="16"/>
      <c r="S228" s="16"/>
      <c r="T228" s="16"/>
      <c r="U228" s="16"/>
      <c r="V228" s="16"/>
      <c r="W228" s="16"/>
      <c r="X228" s="16"/>
      <c r="Y228" s="16"/>
      <c r="Z228" s="16"/>
      <c r="AA228" s="16"/>
      <c r="AB228" s="16"/>
      <c r="AC228" s="16"/>
      <c r="AD228" s="16"/>
      <c r="AE228" s="16"/>
      <c r="AF228" s="16"/>
    </row>
    <row r="229" spans="1:32" s="17" customFormat="1" ht="12.9" customHeight="1">
      <c r="A229" s="106"/>
      <c r="B229" s="16"/>
      <c r="C229" s="16"/>
      <c r="D229" s="16"/>
      <c r="E229" s="16"/>
      <c r="F229" s="16"/>
      <c r="G229" s="16"/>
      <c r="H229" s="16"/>
      <c r="I229" s="16"/>
      <c r="J229" s="16"/>
      <c r="K229" s="16"/>
      <c r="L229" s="16"/>
      <c r="M229" s="16"/>
      <c r="N229" s="16"/>
      <c r="O229" s="16"/>
      <c r="P229" s="16"/>
      <c r="Q229" s="16"/>
      <c r="R229" s="16"/>
      <c r="S229" s="16"/>
      <c r="T229" s="16"/>
      <c r="U229" s="16"/>
      <c r="V229" s="16"/>
      <c r="W229" s="16"/>
      <c r="X229" s="16"/>
      <c r="Y229" s="16"/>
      <c r="Z229" s="16"/>
      <c r="AA229" s="16"/>
      <c r="AB229" s="16"/>
      <c r="AC229" s="16"/>
      <c r="AD229" s="16"/>
      <c r="AE229" s="16"/>
      <c r="AF229" s="16"/>
    </row>
    <row r="230" spans="1:32" s="17" customFormat="1" ht="12.9" customHeight="1">
      <c r="A230" s="106"/>
      <c r="B230" s="16"/>
      <c r="C230" s="16"/>
      <c r="D230" s="16"/>
      <c r="E230" s="16"/>
      <c r="F230" s="16"/>
      <c r="G230" s="16"/>
      <c r="H230" s="16"/>
      <c r="I230" s="16"/>
      <c r="J230" s="16"/>
      <c r="K230" s="16"/>
      <c r="L230" s="16"/>
      <c r="M230" s="16"/>
      <c r="N230" s="16"/>
      <c r="O230" s="16"/>
      <c r="P230" s="16"/>
      <c r="Q230" s="16"/>
      <c r="R230" s="16"/>
      <c r="S230" s="16"/>
      <c r="T230" s="16"/>
      <c r="U230" s="16"/>
      <c r="V230" s="16"/>
      <c r="W230" s="16"/>
      <c r="X230" s="16"/>
      <c r="Y230" s="16"/>
      <c r="Z230" s="16"/>
      <c r="AA230" s="16"/>
      <c r="AB230" s="16"/>
      <c r="AC230" s="16"/>
      <c r="AD230" s="16"/>
      <c r="AE230" s="16"/>
      <c r="AF230" s="16"/>
    </row>
    <row r="231" spans="1:32" s="17" customFormat="1" ht="12.9" customHeight="1">
      <c r="A231" s="106"/>
      <c r="B231" s="16"/>
      <c r="C231" s="16"/>
      <c r="D231" s="16"/>
      <c r="E231" s="16"/>
      <c r="F231" s="16"/>
      <c r="G231" s="16"/>
      <c r="H231" s="16"/>
      <c r="I231" s="16"/>
      <c r="J231" s="16"/>
      <c r="K231" s="16"/>
      <c r="L231" s="16"/>
      <c r="M231" s="16"/>
      <c r="N231" s="16"/>
      <c r="O231" s="16"/>
      <c r="P231" s="16"/>
      <c r="Q231" s="16"/>
      <c r="R231" s="16"/>
      <c r="S231" s="16"/>
      <c r="T231" s="16"/>
      <c r="U231" s="16"/>
      <c r="V231" s="16"/>
      <c r="W231" s="16"/>
      <c r="X231" s="16"/>
      <c r="Y231" s="16"/>
      <c r="Z231" s="16"/>
      <c r="AA231" s="16"/>
      <c r="AB231" s="16"/>
      <c r="AC231" s="16"/>
      <c r="AD231" s="16"/>
      <c r="AE231" s="16"/>
      <c r="AF231" s="16"/>
    </row>
    <row r="232" spans="1:32" s="17" customFormat="1" ht="12.9" customHeight="1">
      <c r="A232" s="106"/>
      <c r="B232" s="16"/>
      <c r="C232" s="16"/>
      <c r="D232" s="16"/>
      <c r="E232" s="16"/>
      <c r="F232" s="16"/>
      <c r="G232" s="16"/>
      <c r="H232" s="16"/>
      <c r="I232" s="16"/>
      <c r="J232" s="16"/>
      <c r="K232" s="16"/>
      <c r="L232" s="16"/>
      <c r="M232" s="16"/>
      <c r="N232" s="16"/>
      <c r="O232" s="16"/>
      <c r="P232" s="16"/>
      <c r="Q232" s="16"/>
      <c r="R232" s="16"/>
      <c r="S232" s="16"/>
      <c r="T232" s="16"/>
      <c r="U232" s="16"/>
      <c r="V232" s="16"/>
      <c r="W232" s="16"/>
      <c r="X232" s="16"/>
      <c r="Y232" s="16"/>
      <c r="Z232" s="16"/>
      <c r="AA232" s="16"/>
      <c r="AB232" s="16"/>
      <c r="AC232" s="16"/>
      <c r="AD232" s="16"/>
      <c r="AE232" s="16"/>
      <c r="AF232" s="16"/>
    </row>
    <row r="233" spans="1:32" s="17" customFormat="1" ht="12.9" customHeight="1">
      <c r="A233" s="106"/>
      <c r="B233" s="16"/>
      <c r="C233" s="16"/>
      <c r="D233" s="16"/>
      <c r="E233" s="16"/>
      <c r="F233" s="16"/>
      <c r="G233" s="16"/>
      <c r="H233" s="16"/>
      <c r="I233" s="16"/>
      <c r="J233" s="16"/>
      <c r="K233" s="16"/>
      <c r="L233" s="16"/>
      <c r="M233" s="16"/>
      <c r="N233" s="16"/>
      <c r="O233" s="16"/>
      <c r="P233" s="16"/>
      <c r="Q233" s="16"/>
      <c r="R233" s="16"/>
      <c r="S233" s="16"/>
      <c r="T233" s="16"/>
      <c r="U233" s="16"/>
      <c r="V233" s="16"/>
      <c r="W233" s="16"/>
      <c r="X233" s="16"/>
      <c r="Y233" s="16"/>
      <c r="Z233" s="16"/>
      <c r="AA233" s="16"/>
      <c r="AB233" s="16"/>
      <c r="AC233" s="16"/>
      <c r="AD233" s="16"/>
      <c r="AE233" s="16"/>
      <c r="AF233" s="16"/>
    </row>
    <row r="234" spans="1:32" s="17" customFormat="1" ht="12.9" customHeight="1">
      <c r="A234" s="106"/>
      <c r="B234" s="16"/>
      <c r="C234" s="16"/>
      <c r="D234" s="16"/>
      <c r="E234" s="16"/>
      <c r="F234" s="16"/>
      <c r="G234" s="16"/>
      <c r="H234" s="16"/>
      <c r="I234" s="16"/>
      <c r="J234" s="16"/>
      <c r="K234" s="16"/>
      <c r="L234" s="16"/>
      <c r="M234" s="16"/>
      <c r="N234" s="16"/>
      <c r="O234" s="16"/>
      <c r="P234" s="16"/>
      <c r="Q234" s="16"/>
      <c r="R234" s="16"/>
      <c r="S234" s="16"/>
      <c r="T234" s="16"/>
      <c r="U234" s="16"/>
      <c r="V234" s="16"/>
      <c r="W234" s="16"/>
      <c r="X234" s="16"/>
      <c r="Y234" s="16"/>
      <c r="Z234" s="16"/>
      <c r="AA234" s="16"/>
      <c r="AB234" s="16"/>
      <c r="AC234" s="16"/>
      <c r="AD234" s="16"/>
      <c r="AE234" s="16"/>
      <c r="AF234" s="16"/>
    </row>
    <row r="235" spans="1:32" s="17" customFormat="1" ht="12.9" customHeight="1">
      <c r="A235" s="106"/>
      <c r="B235" s="16"/>
      <c r="C235" s="16"/>
      <c r="D235" s="16"/>
      <c r="E235" s="16"/>
      <c r="F235" s="16"/>
      <c r="G235" s="16"/>
      <c r="H235" s="16"/>
      <c r="I235" s="16"/>
      <c r="J235" s="16"/>
      <c r="K235" s="16"/>
      <c r="L235" s="16"/>
      <c r="M235" s="16"/>
      <c r="N235" s="16"/>
      <c r="O235" s="16"/>
      <c r="P235" s="16"/>
      <c r="Q235" s="16"/>
      <c r="R235" s="16"/>
      <c r="S235" s="16"/>
      <c r="T235" s="16"/>
      <c r="U235" s="16"/>
      <c r="V235" s="16"/>
      <c r="W235" s="16"/>
      <c r="X235" s="16"/>
      <c r="Y235" s="16"/>
      <c r="Z235" s="16"/>
      <c r="AA235" s="16"/>
      <c r="AB235" s="16"/>
      <c r="AC235" s="16"/>
      <c r="AD235" s="16"/>
      <c r="AE235" s="16"/>
      <c r="AF235" s="16"/>
    </row>
    <row r="236" spans="1:32" s="17" customFormat="1" ht="12.9" customHeight="1">
      <c r="A236" s="106"/>
      <c r="B236" s="16"/>
      <c r="C236" s="16"/>
      <c r="D236" s="16"/>
      <c r="E236" s="16"/>
      <c r="F236" s="16"/>
      <c r="G236" s="16"/>
      <c r="H236" s="16"/>
      <c r="I236" s="16"/>
      <c r="J236" s="16"/>
      <c r="K236" s="16"/>
      <c r="L236" s="16"/>
      <c r="M236" s="16"/>
      <c r="N236" s="16"/>
      <c r="O236" s="16"/>
      <c r="P236" s="16"/>
      <c r="Q236" s="16"/>
      <c r="R236" s="16"/>
      <c r="S236" s="16"/>
      <c r="T236" s="16"/>
      <c r="U236" s="16"/>
      <c r="V236" s="16"/>
      <c r="W236" s="16"/>
      <c r="X236" s="16"/>
      <c r="Y236" s="16"/>
      <c r="Z236" s="16"/>
      <c r="AA236" s="16"/>
      <c r="AB236" s="16"/>
      <c r="AC236" s="16"/>
      <c r="AD236" s="16"/>
      <c r="AE236" s="16"/>
      <c r="AF236" s="16"/>
    </row>
    <row r="237" spans="1:32" s="17" customFormat="1" ht="12.9" customHeight="1">
      <c r="A237" s="106"/>
      <c r="B237" s="16"/>
      <c r="C237" s="16"/>
      <c r="D237" s="16"/>
      <c r="E237" s="16"/>
      <c r="F237" s="16"/>
      <c r="G237" s="16"/>
      <c r="H237" s="16"/>
      <c r="I237" s="16"/>
      <c r="J237" s="16"/>
      <c r="K237" s="16"/>
      <c r="L237" s="16"/>
      <c r="M237" s="16"/>
      <c r="N237" s="16"/>
      <c r="O237" s="16"/>
      <c r="P237" s="16"/>
      <c r="Q237" s="16"/>
      <c r="R237" s="16"/>
      <c r="S237" s="16"/>
      <c r="T237" s="16"/>
      <c r="U237" s="16"/>
      <c r="V237" s="16"/>
      <c r="W237" s="16"/>
      <c r="X237" s="16"/>
      <c r="Y237" s="16"/>
      <c r="Z237" s="16"/>
      <c r="AA237" s="16"/>
      <c r="AB237" s="16"/>
      <c r="AC237" s="16"/>
      <c r="AD237" s="16"/>
      <c r="AE237" s="16"/>
      <c r="AF237" s="16"/>
    </row>
    <row r="238" spans="1:32" s="17" customFormat="1" ht="12.9" customHeight="1">
      <c r="A238" s="106"/>
      <c r="B238" s="16"/>
      <c r="C238" s="16"/>
      <c r="D238" s="16"/>
      <c r="E238" s="16"/>
      <c r="F238" s="16"/>
      <c r="G238" s="16"/>
      <c r="H238" s="16"/>
      <c r="I238" s="16"/>
      <c r="J238" s="16"/>
      <c r="K238" s="16"/>
      <c r="L238" s="16"/>
      <c r="M238" s="16"/>
      <c r="N238" s="16"/>
      <c r="O238" s="16"/>
      <c r="P238" s="16"/>
      <c r="Q238" s="16"/>
      <c r="R238" s="16"/>
      <c r="S238" s="16"/>
      <c r="T238" s="16"/>
      <c r="U238" s="16"/>
      <c r="V238" s="16"/>
      <c r="W238" s="16"/>
      <c r="X238" s="16"/>
      <c r="Y238" s="16"/>
      <c r="Z238" s="16"/>
      <c r="AA238" s="16"/>
      <c r="AB238" s="16"/>
      <c r="AC238" s="16"/>
      <c r="AD238" s="16"/>
      <c r="AE238" s="16"/>
      <c r="AF238" s="16"/>
    </row>
    <row r="239" spans="1:32" s="17" customFormat="1" ht="12.9" customHeight="1">
      <c r="A239" s="106"/>
      <c r="B239" s="16"/>
      <c r="C239" s="16"/>
      <c r="D239" s="16"/>
      <c r="E239" s="16"/>
      <c r="F239" s="16"/>
      <c r="G239" s="16"/>
      <c r="H239" s="16"/>
      <c r="I239" s="16"/>
      <c r="J239" s="16"/>
      <c r="K239" s="16"/>
      <c r="L239" s="16"/>
      <c r="M239" s="16"/>
      <c r="N239" s="16"/>
      <c r="O239" s="16"/>
      <c r="P239" s="16"/>
      <c r="Q239" s="16"/>
      <c r="R239" s="16"/>
      <c r="S239" s="16"/>
      <c r="T239" s="16"/>
      <c r="U239" s="16"/>
      <c r="V239" s="16"/>
      <c r="W239" s="16"/>
      <c r="X239" s="16"/>
      <c r="Y239" s="16"/>
      <c r="Z239" s="16"/>
      <c r="AA239" s="16"/>
      <c r="AB239" s="16"/>
      <c r="AC239" s="16"/>
      <c r="AD239" s="16"/>
      <c r="AE239" s="16"/>
      <c r="AF239" s="16"/>
    </row>
    <row r="240" spans="1:32" s="17" customFormat="1" ht="12.9" customHeight="1">
      <c r="A240" s="106"/>
      <c r="B240" s="16"/>
      <c r="C240" s="16"/>
      <c r="D240" s="16"/>
      <c r="E240" s="16"/>
      <c r="F240" s="16"/>
      <c r="G240" s="16"/>
      <c r="H240" s="16"/>
      <c r="I240" s="16"/>
      <c r="J240" s="16"/>
      <c r="K240" s="16"/>
      <c r="L240" s="16"/>
      <c r="M240" s="16"/>
      <c r="N240" s="16"/>
      <c r="O240" s="16"/>
      <c r="P240" s="16"/>
      <c r="Q240" s="16"/>
      <c r="R240" s="16"/>
      <c r="S240" s="16"/>
      <c r="T240" s="16"/>
      <c r="U240" s="16"/>
      <c r="V240" s="16"/>
      <c r="W240" s="16"/>
      <c r="X240" s="16"/>
      <c r="Y240" s="16"/>
      <c r="Z240" s="16"/>
      <c r="AA240" s="16"/>
      <c r="AB240" s="16"/>
      <c r="AC240" s="16"/>
      <c r="AD240" s="16"/>
      <c r="AE240" s="16"/>
      <c r="AF240" s="16"/>
    </row>
    <row r="241" spans="1:32" s="17" customFormat="1" ht="12.9" customHeight="1">
      <c r="A241" s="10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row>
    <row r="242" spans="1:32" s="17" customFormat="1" ht="12.9" customHeight="1">
      <c r="A242" s="10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c r="AA242" s="16"/>
      <c r="AB242" s="16"/>
      <c r="AC242" s="16"/>
      <c r="AD242" s="16"/>
      <c r="AE242" s="16"/>
      <c r="AF242" s="16"/>
    </row>
    <row r="243" spans="1:32" s="17" customFormat="1" ht="12.9" customHeight="1">
      <c r="A243" s="10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c r="AA243" s="16"/>
      <c r="AB243" s="16"/>
      <c r="AC243" s="16"/>
      <c r="AD243" s="16"/>
      <c r="AE243" s="16"/>
      <c r="AF243" s="16"/>
    </row>
    <row r="244" spans="1:32" s="17" customFormat="1" ht="12.9" customHeight="1">
      <c r="A244" s="10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c r="AA244" s="16"/>
      <c r="AB244" s="16"/>
      <c r="AC244" s="16"/>
      <c r="AD244" s="16"/>
      <c r="AE244" s="16"/>
      <c r="AF244" s="16"/>
    </row>
    <row r="245" spans="1:32" s="17" customFormat="1" ht="12.9" customHeight="1">
      <c r="A245" s="10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c r="AA245" s="16"/>
      <c r="AB245" s="16"/>
      <c r="AC245" s="16"/>
      <c r="AD245" s="16"/>
      <c r="AE245" s="16"/>
      <c r="AF245" s="16"/>
    </row>
    <row r="246" spans="1:32" s="17" customFormat="1" ht="12.9" customHeight="1">
      <c r="A246" s="10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c r="AA246" s="16"/>
      <c r="AB246" s="16"/>
      <c r="AC246" s="16"/>
      <c r="AD246" s="16"/>
      <c r="AE246" s="16"/>
      <c r="AF246" s="16"/>
    </row>
    <row r="247" spans="1:32" s="17" customFormat="1" ht="12.9" customHeight="1">
      <c r="A247" s="10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c r="AA247" s="16"/>
      <c r="AB247" s="16"/>
      <c r="AC247" s="16"/>
      <c r="AD247" s="16"/>
      <c r="AE247" s="16"/>
      <c r="AF247" s="16"/>
    </row>
    <row r="248" spans="1:32" s="17" customFormat="1" ht="12.9" customHeight="1">
      <c r="A248" s="10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c r="AA248" s="16"/>
      <c r="AB248" s="16"/>
      <c r="AC248" s="16"/>
      <c r="AD248" s="16"/>
      <c r="AE248" s="16"/>
      <c r="AF248" s="16"/>
    </row>
    <row r="249" spans="1:32" s="17" customFormat="1" ht="12.9" customHeight="1">
      <c r="A249" s="10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c r="AA249" s="16"/>
      <c r="AB249" s="16"/>
      <c r="AC249" s="16"/>
      <c r="AD249" s="16"/>
      <c r="AE249" s="16"/>
      <c r="AF249" s="16"/>
    </row>
    <row r="250" spans="1:32" s="17" customFormat="1" ht="12.9" customHeight="1">
      <c r="A250" s="10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c r="AA250" s="16"/>
      <c r="AB250" s="16"/>
      <c r="AC250" s="16"/>
      <c r="AD250" s="16"/>
      <c r="AE250" s="16"/>
      <c r="AF250" s="16"/>
    </row>
    <row r="251" spans="1:32" s="17" customFormat="1" ht="12.9" customHeight="1">
      <c r="A251" s="10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c r="AA251" s="16"/>
      <c r="AB251" s="16"/>
      <c r="AC251" s="16"/>
      <c r="AD251" s="16"/>
      <c r="AE251" s="16"/>
      <c r="AF251" s="16"/>
    </row>
    <row r="252" spans="1:32" s="17" customFormat="1" ht="12.9" customHeight="1">
      <c r="A252" s="10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c r="AA252" s="16"/>
      <c r="AB252" s="16"/>
      <c r="AC252" s="16"/>
      <c r="AD252" s="16"/>
      <c r="AE252" s="16"/>
      <c r="AF252" s="16"/>
    </row>
    <row r="253" spans="1:32" s="17" customFormat="1" ht="12.9" customHeight="1">
      <c r="A253" s="106"/>
      <c r="B253" s="16"/>
      <c r="C253" s="16"/>
      <c r="D253" s="16"/>
      <c r="E253" s="16"/>
      <c r="F253" s="16"/>
      <c r="G253" s="16"/>
      <c r="H253" s="16"/>
      <c r="I253" s="16"/>
      <c r="J253" s="16"/>
      <c r="K253" s="16"/>
      <c r="L253" s="16"/>
      <c r="M253" s="16"/>
      <c r="N253" s="16"/>
      <c r="O253" s="16"/>
      <c r="P253" s="16"/>
      <c r="Q253" s="16"/>
      <c r="R253" s="16"/>
      <c r="S253" s="16"/>
      <c r="T253" s="16"/>
      <c r="U253" s="16"/>
      <c r="V253" s="16"/>
      <c r="W253" s="16"/>
      <c r="X253" s="16"/>
      <c r="Y253" s="16"/>
      <c r="Z253" s="16"/>
      <c r="AA253" s="16"/>
      <c r="AB253" s="16"/>
      <c r="AC253" s="16"/>
      <c r="AD253" s="16"/>
      <c r="AE253" s="16"/>
      <c r="AF253" s="16"/>
    </row>
    <row r="254" spans="1:32" s="17" customFormat="1" ht="12.9" customHeight="1">
      <c r="A254" s="106"/>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c r="AA254" s="16"/>
      <c r="AB254" s="16"/>
      <c r="AC254" s="16"/>
      <c r="AD254" s="16"/>
      <c r="AE254" s="16"/>
      <c r="AF254" s="16"/>
    </row>
    <row r="255" spans="1:32" s="17" customFormat="1" ht="12.9" customHeight="1">
      <c r="A255" s="106"/>
      <c r="B255" s="16"/>
      <c r="C255" s="16"/>
      <c r="D255" s="16"/>
      <c r="E255" s="16"/>
      <c r="F255" s="16"/>
      <c r="G255" s="16"/>
      <c r="H255" s="16"/>
      <c r="I255" s="16"/>
      <c r="J255" s="16"/>
      <c r="K255" s="16"/>
      <c r="L255" s="16"/>
      <c r="M255" s="16"/>
      <c r="N255" s="16"/>
      <c r="O255" s="16"/>
      <c r="P255" s="16"/>
      <c r="Q255" s="16"/>
      <c r="R255" s="16"/>
      <c r="S255" s="16"/>
      <c r="T255" s="16"/>
      <c r="U255" s="16"/>
      <c r="V255" s="16"/>
      <c r="W255" s="16"/>
      <c r="X255" s="16"/>
      <c r="Y255" s="16"/>
      <c r="Z255" s="16"/>
      <c r="AA255" s="16"/>
      <c r="AB255" s="16"/>
      <c r="AC255" s="16"/>
      <c r="AD255" s="16"/>
      <c r="AE255" s="16"/>
      <c r="AF255" s="16"/>
    </row>
    <row r="256" spans="1:32" s="17" customFormat="1" ht="12.9" customHeight="1">
      <c r="A256" s="106"/>
      <c r="B256" s="16"/>
      <c r="C256" s="16"/>
      <c r="D256" s="16"/>
      <c r="E256" s="16"/>
      <c r="F256" s="16"/>
      <c r="G256" s="16"/>
      <c r="H256" s="16"/>
      <c r="I256" s="16"/>
      <c r="J256" s="16"/>
      <c r="K256" s="16"/>
      <c r="L256" s="16"/>
      <c r="M256" s="16"/>
      <c r="N256" s="16"/>
      <c r="O256" s="16"/>
      <c r="P256" s="16"/>
      <c r="Q256" s="16"/>
      <c r="R256" s="16"/>
      <c r="S256" s="16"/>
      <c r="T256" s="16"/>
      <c r="U256" s="16"/>
      <c r="V256" s="16"/>
      <c r="W256" s="16"/>
      <c r="X256" s="16"/>
      <c r="Y256" s="16"/>
      <c r="Z256" s="16"/>
      <c r="AA256" s="16"/>
      <c r="AB256" s="16"/>
      <c r="AC256" s="16"/>
      <c r="AD256" s="16"/>
      <c r="AE256" s="16"/>
      <c r="AF256" s="16"/>
    </row>
    <row r="257" spans="1:32" s="17" customFormat="1" ht="12.9" customHeight="1">
      <c r="A257" s="106"/>
      <c r="B257" s="16"/>
      <c r="C257" s="16"/>
      <c r="D257" s="16"/>
      <c r="E257" s="16"/>
      <c r="F257" s="16"/>
      <c r="G257" s="16"/>
      <c r="H257" s="16"/>
      <c r="I257" s="16"/>
      <c r="J257" s="16"/>
      <c r="K257" s="16"/>
      <c r="L257" s="16"/>
      <c r="M257" s="16"/>
      <c r="N257" s="16"/>
      <c r="O257" s="16"/>
      <c r="P257" s="16"/>
      <c r="Q257" s="16"/>
      <c r="R257" s="16"/>
      <c r="S257" s="16"/>
      <c r="T257" s="16"/>
      <c r="U257" s="16"/>
      <c r="V257" s="16"/>
      <c r="W257" s="16"/>
      <c r="X257" s="16"/>
      <c r="Y257" s="16"/>
      <c r="Z257" s="16"/>
      <c r="AA257" s="16"/>
      <c r="AB257" s="16"/>
      <c r="AC257" s="16"/>
      <c r="AD257" s="16"/>
      <c r="AE257" s="16"/>
      <c r="AF257" s="16"/>
    </row>
    <row r="258" spans="1:32" s="17" customFormat="1" ht="12.9" customHeight="1">
      <c r="A258" s="106"/>
      <c r="B258" s="16"/>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row>
    <row r="259" spans="1:32" s="17" customFormat="1" ht="12.9" customHeight="1">
      <c r="A259" s="106"/>
      <c r="B259" s="16"/>
      <c r="C259" s="16"/>
      <c r="D259" s="16"/>
      <c r="E259" s="16"/>
      <c r="F259" s="16"/>
      <c r="G259" s="16"/>
      <c r="H259" s="16"/>
      <c r="I259" s="16"/>
      <c r="J259" s="16"/>
      <c r="K259" s="16"/>
      <c r="L259" s="16"/>
      <c r="M259" s="16"/>
      <c r="N259" s="16"/>
      <c r="O259" s="16"/>
      <c r="P259" s="16"/>
      <c r="Q259" s="16"/>
      <c r="R259" s="16"/>
      <c r="S259" s="16"/>
      <c r="T259" s="16"/>
      <c r="U259" s="16"/>
      <c r="V259" s="16"/>
      <c r="W259" s="16"/>
      <c r="X259" s="16"/>
      <c r="Y259" s="16"/>
      <c r="Z259" s="16"/>
      <c r="AA259" s="16"/>
      <c r="AB259" s="16"/>
      <c r="AC259" s="16"/>
      <c r="AD259" s="16"/>
      <c r="AE259" s="16"/>
      <c r="AF259" s="16"/>
    </row>
    <row r="260" spans="1:32" s="17" customFormat="1" ht="12.9" customHeight="1">
      <c r="A260" s="106"/>
      <c r="B260" s="16"/>
      <c r="C260" s="16"/>
      <c r="D260" s="16"/>
      <c r="E260" s="16"/>
      <c r="F260" s="16"/>
      <c r="G260" s="16"/>
      <c r="H260" s="16"/>
      <c r="I260" s="16"/>
      <c r="J260" s="16"/>
      <c r="K260" s="16"/>
      <c r="L260" s="16"/>
      <c r="M260" s="16"/>
      <c r="N260" s="16"/>
      <c r="O260" s="16"/>
      <c r="P260" s="16"/>
      <c r="Q260" s="16"/>
      <c r="R260" s="16"/>
      <c r="S260" s="16"/>
      <c r="T260" s="16"/>
      <c r="U260" s="16"/>
      <c r="V260" s="16"/>
      <c r="W260" s="16"/>
      <c r="X260" s="16"/>
      <c r="Y260" s="16"/>
      <c r="Z260" s="16"/>
      <c r="AA260" s="16"/>
      <c r="AB260" s="16"/>
      <c r="AC260" s="16"/>
      <c r="AD260" s="16"/>
      <c r="AE260" s="16"/>
      <c r="AF260" s="16"/>
    </row>
    <row r="261" spans="1:32" s="17" customFormat="1" ht="12.9" customHeight="1">
      <c r="A261" s="106"/>
      <c r="B261" s="16"/>
      <c r="C261" s="16"/>
      <c r="D261" s="16"/>
      <c r="E261" s="16"/>
      <c r="F261" s="16"/>
      <c r="G261" s="16"/>
      <c r="H261" s="16"/>
      <c r="I261" s="16"/>
      <c r="J261" s="16"/>
      <c r="K261" s="16"/>
      <c r="L261" s="16"/>
      <c r="M261" s="16"/>
      <c r="N261" s="16"/>
      <c r="O261" s="16"/>
      <c r="P261" s="16"/>
      <c r="Q261" s="16"/>
      <c r="R261" s="16"/>
      <c r="S261" s="16"/>
      <c r="T261" s="16"/>
      <c r="U261" s="16"/>
      <c r="V261" s="16"/>
      <c r="W261" s="16"/>
      <c r="X261" s="16"/>
      <c r="Y261" s="16"/>
      <c r="Z261" s="16"/>
      <c r="AA261" s="16"/>
      <c r="AB261" s="16"/>
      <c r="AC261" s="16"/>
      <c r="AD261" s="16"/>
      <c r="AE261" s="16"/>
      <c r="AF261" s="16"/>
    </row>
    <row r="262" spans="1:32" s="17" customFormat="1" ht="12.9" customHeight="1">
      <c r="A262" s="106"/>
      <c r="B262" s="16"/>
      <c r="C262" s="16"/>
      <c r="D262" s="16"/>
      <c r="E262" s="16"/>
      <c r="F262" s="16"/>
      <c r="G262" s="16"/>
      <c r="H262" s="16"/>
      <c r="I262" s="16"/>
      <c r="J262" s="16"/>
      <c r="K262" s="16"/>
      <c r="L262" s="16"/>
      <c r="M262" s="16"/>
      <c r="N262" s="16"/>
      <c r="O262" s="16"/>
      <c r="P262" s="16"/>
      <c r="Q262" s="16"/>
      <c r="R262" s="16"/>
      <c r="S262" s="16"/>
      <c r="T262" s="16"/>
      <c r="U262" s="16"/>
      <c r="V262" s="16"/>
      <c r="W262" s="16"/>
      <c r="X262" s="16"/>
      <c r="Y262" s="16"/>
      <c r="Z262" s="16"/>
      <c r="AA262" s="16"/>
      <c r="AB262" s="16"/>
      <c r="AC262" s="16"/>
      <c r="AD262" s="16"/>
      <c r="AE262" s="16"/>
      <c r="AF262" s="16"/>
    </row>
    <row r="263" spans="1:32" s="17" customFormat="1" ht="12.9" customHeight="1">
      <c r="A263" s="106"/>
      <c r="B263" s="16"/>
      <c r="C263" s="16"/>
      <c r="D263" s="16"/>
      <c r="E263" s="16"/>
      <c r="F263" s="16"/>
      <c r="G263" s="16"/>
      <c r="H263" s="16"/>
      <c r="I263" s="16"/>
      <c r="J263" s="16"/>
      <c r="K263" s="16"/>
      <c r="L263" s="16"/>
      <c r="M263" s="16"/>
      <c r="N263" s="16"/>
      <c r="O263" s="16"/>
      <c r="P263" s="16"/>
      <c r="Q263" s="16"/>
      <c r="R263" s="16"/>
      <c r="S263" s="16"/>
      <c r="T263" s="16"/>
      <c r="U263" s="16"/>
      <c r="V263" s="16"/>
      <c r="W263" s="16"/>
      <c r="X263" s="16"/>
      <c r="Y263" s="16"/>
      <c r="Z263" s="16"/>
      <c r="AA263" s="16"/>
      <c r="AB263" s="16"/>
      <c r="AC263" s="16"/>
      <c r="AD263" s="16"/>
      <c r="AE263" s="16"/>
      <c r="AF263" s="16"/>
    </row>
    <row r="264" spans="1:32" s="17" customFormat="1" ht="12.9" customHeight="1">
      <c r="A264" s="106"/>
      <c r="B264" s="16"/>
      <c r="C264" s="16"/>
      <c r="D264" s="16"/>
      <c r="E264" s="16"/>
      <c r="F264" s="16"/>
      <c r="G264" s="16"/>
      <c r="H264" s="16"/>
      <c r="I264" s="16"/>
      <c r="J264" s="16"/>
      <c r="K264" s="16"/>
      <c r="L264" s="16"/>
      <c r="M264" s="16"/>
      <c r="N264" s="16"/>
      <c r="O264" s="16"/>
      <c r="P264" s="16"/>
      <c r="Q264" s="16"/>
      <c r="R264" s="16"/>
      <c r="S264" s="16"/>
      <c r="T264" s="16"/>
      <c r="U264" s="16"/>
      <c r="V264" s="16"/>
      <c r="W264" s="16"/>
      <c r="X264" s="16"/>
      <c r="Y264" s="16"/>
      <c r="Z264" s="16"/>
      <c r="AA264" s="16"/>
      <c r="AB264" s="16"/>
      <c r="AC264" s="16"/>
      <c r="AD264" s="16"/>
      <c r="AE264" s="16"/>
      <c r="AF264" s="16"/>
    </row>
    <row r="265" spans="1:32" s="17" customFormat="1" ht="12.9" customHeight="1">
      <c r="A265" s="106"/>
      <c r="B265" s="16"/>
      <c r="C265" s="16"/>
      <c r="D265" s="16"/>
      <c r="E265" s="16"/>
      <c r="F265" s="16"/>
      <c r="G265" s="16"/>
      <c r="H265" s="16"/>
      <c r="I265" s="16"/>
      <c r="J265" s="16"/>
      <c r="K265" s="16"/>
      <c r="L265" s="16"/>
      <c r="M265" s="16"/>
      <c r="N265" s="16"/>
      <c r="O265" s="16"/>
      <c r="P265" s="16"/>
      <c r="Q265" s="16"/>
      <c r="R265" s="16"/>
      <c r="S265" s="16"/>
      <c r="T265" s="16"/>
      <c r="U265" s="16"/>
      <c r="V265" s="16"/>
      <c r="W265" s="16"/>
      <c r="X265" s="16"/>
      <c r="Y265" s="16"/>
      <c r="Z265" s="16"/>
      <c r="AA265" s="16"/>
      <c r="AB265" s="16"/>
      <c r="AC265" s="16"/>
      <c r="AD265" s="16"/>
      <c r="AE265" s="16"/>
      <c r="AF265" s="16"/>
    </row>
    <row r="266" spans="1:32" s="17" customFormat="1" ht="12.9" customHeight="1">
      <c r="A266" s="106"/>
      <c r="B266" s="16"/>
      <c r="C266" s="16"/>
      <c r="D266" s="16"/>
      <c r="E266" s="16"/>
      <c r="F266" s="16"/>
      <c r="G266" s="16"/>
      <c r="H266" s="16"/>
      <c r="I266" s="16"/>
      <c r="J266" s="16"/>
      <c r="K266" s="16"/>
      <c r="L266" s="16"/>
      <c r="M266" s="16"/>
      <c r="N266" s="16"/>
      <c r="O266" s="16"/>
      <c r="P266" s="16"/>
      <c r="Q266" s="16"/>
      <c r="R266" s="16"/>
      <c r="S266" s="16"/>
      <c r="T266" s="16"/>
      <c r="U266" s="16"/>
      <c r="V266" s="16"/>
      <c r="W266" s="16"/>
      <c r="X266" s="16"/>
      <c r="Y266" s="16"/>
      <c r="Z266" s="16"/>
      <c r="AA266" s="16"/>
      <c r="AB266" s="16"/>
      <c r="AC266" s="16"/>
      <c r="AD266" s="16"/>
      <c r="AE266" s="16"/>
      <c r="AF266" s="16"/>
    </row>
    <row r="267" spans="1:32" s="17" customFormat="1" ht="12.9" customHeight="1">
      <c r="A267" s="106"/>
      <c r="B267" s="16"/>
      <c r="C267" s="16"/>
      <c r="D267" s="16"/>
      <c r="E267" s="16"/>
      <c r="F267" s="16"/>
      <c r="G267" s="16"/>
      <c r="H267" s="16"/>
      <c r="I267" s="16"/>
      <c r="J267" s="16"/>
      <c r="K267" s="16"/>
      <c r="L267" s="16"/>
      <c r="M267" s="16"/>
      <c r="N267" s="16"/>
      <c r="O267" s="16"/>
      <c r="P267" s="16"/>
      <c r="Q267" s="16"/>
      <c r="R267" s="16"/>
      <c r="S267" s="16"/>
      <c r="T267" s="16"/>
      <c r="U267" s="16"/>
      <c r="V267" s="16"/>
      <c r="W267" s="16"/>
      <c r="X267" s="16"/>
      <c r="Y267" s="16"/>
      <c r="Z267" s="16"/>
      <c r="AA267" s="16"/>
      <c r="AB267" s="16"/>
      <c r="AC267" s="16"/>
      <c r="AD267" s="16"/>
      <c r="AE267" s="16"/>
      <c r="AF267" s="16"/>
    </row>
    <row r="268" spans="1:32" s="17" customFormat="1" ht="12.9" customHeight="1">
      <c r="A268" s="106"/>
      <c r="B268" s="16"/>
      <c r="C268" s="16"/>
      <c r="D268" s="16"/>
      <c r="E268" s="16"/>
      <c r="F268" s="16"/>
      <c r="G268" s="16"/>
      <c r="H268" s="16"/>
      <c r="I268" s="16"/>
      <c r="J268" s="16"/>
      <c r="K268" s="16"/>
      <c r="L268" s="16"/>
      <c r="M268" s="16"/>
      <c r="N268" s="16"/>
      <c r="O268" s="16"/>
      <c r="P268" s="16"/>
      <c r="Q268" s="16"/>
      <c r="R268" s="16"/>
      <c r="S268" s="16"/>
      <c r="T268" s="16"/>
      <c r="U268" s="16"/>
      <c r="V268" s="16"/>
      <c r="W268" s="16"/>
      <c r="X268" s="16"/>
      <c r="Y268" s="16"/>
      <c r="Z268" s="16"/>
      <c r="AA268" s="16"/>
      <c r="AB268" s="16"/>
      <c r="AC268" s="16"/>
      <c r="AD268" s="16"/>
      <c r="AE268" s="16"/>
      <c r="AF268" s="16"/>
    </row>
    <row r="269" spans="1:32" s="17" customFormat="1" ht="12.9" customHeight="1">
      <c r="A269" s="106"/>
      <c r="B269" s="16"/>
      <c r="C269" s="16"/>
      <c r="D269" s="16"/>
      <c r="E269" s="16"/>
      <c r="F269" s="16"/>
      <c r="G269" s="16"/>
      <c r="H269" s="16"/>
      <c r="I269" s="16"/>
      <c r="J269" s="16"/>
      <c r="K269" s="16"/>
      <c r="L269" s="16"/>
      <c r="M269" s="16"/>
      <c r="N269" s="16"/>
      <c r="O269" s="16"/>
      <c r="P269" s="16"/>
      <c r="Q269" s="16"/>
      <c r="R269" s="16"/>
      <c r="S269" s="16"/>
      <c r="T269" s="16"/>
      <c r="U269" s="16"/>
      <c r="V269" s="16"/>
      <c r="W269" s="16"/>
      <c r="X269" s="16"/>
      <c r="Y269" s="16"/>
      <c r="Z269" s="16"/>
      <c r="AA269" s="16"/>
      <c r="AB269" s="16"/>
      <c r="AC269" s="16"/>
      <c r="AD269" s="16"/>
      <c r="AE269" s="16"/>
      <c r="AF269" s="16"/>
    </row>
    <row r="270" spans="1:32" s="17" customFormat="1" ht="12.9" customHeight="1">
      <c r="A270" s="106"/>
      <c r="B270" s="16"/>
      <c r="C270" s="16"/>
      <c r="D270" s="16"/>
      <c r="E270" s="16"/>
      <c r="F270" s="16"/>
      <c r="G270" s="16"/>
      <c r="H270" s="16"/>
      <c r="I270" s="16"/>
      <c r="J270" s="16"/>
      <c r="K270" s="16"/>
      <c r="L270" s="16"/>
      <c r="M270" s="16"/>
      <c r="N270" s="16"/>
      <c r="O270" s="16"/>
      <c r="P270" s="16"/>
      <c r="Q270" s="16"/>
      <c r="R270" s="16"/>
      <c r="S270" s="16"/>
      <c r="T270" s="16"/>
      <c r="U270" s="16"/>
      <c r="V270" s="16"/>
      <c r="W270" s="16"/>
      <c r="X270" s="16"/>
      <c r="Y270" s="16"/>
      <c r="Z270" s="16"/>
      <c r="AA270" s="16"/>
      <c r="AB270" s="16"/>
      <c r="AC270" s="16"/>
      <c r="AD270" s="16"/>
      <c r="AE270" s="16"/>
      <c r="AF270" s="16"/>
    </row>
    <row r="271" spans="1:32" s="17" customFormat="1" ht="12.9" customHeight="1">
      <c r="A271" s="106"/>
      <c r="B271" s="16"/>
      <c r="C271" s="16"/>
      <c r="D271" s="16"/>
      <c r="E271" s="16"/>
      <c r="F271" s="16"/>
      <c r="G271" s="16"/>
      <c r="H271" s="16"/>
      <c r="I271" s="16"/>
      <c r="J271" s="16"/>
      <c r="K271" s="16"/>
      <c r="L271" s="16"/>
      <c r="M271" s="16"/>
      <c r="N271" s="16"/>
      <c r="O271" s="16"/>
      <c r="P271" s="16"/>
      <c r="Q271" s="16"/>
      <c r="R271" s="16"/>
      <c r="S271" s="16"/>
      <c r="T271" s="16"/>
      <c r="U271" s="16"/>
      <c r="V271" s="16"/>
      <c r="W271" s="16"/>
      <c r="X271" s="16"/>
      <c r="Y271" s="16"/>
      <c r="Z271" s="16"/>
      <c r="AA271" s="16"/>
      <c r="AB271" s="16"/>
      <c r="AC271" s="16"/>
      <c r="AD271" s="16"/>
      <c r="AE271" s="16"/>
      <c r="AF271" s="16"/>
    </row>
    <row r="272" spans="1:32" s="17" customFormat="1" ht="12.9" customHeight="1">
      <c r="A272" s="106"/>
      <c r="B272" s="16"/>
      <c r="C272" s="16"/>
      <c r="D272" s="16"/>
      <c r="E272" s="16"/>
      <c r="F272" s="16"/>
      <c r="G272" s="16"/>
      <c r="H272" s="16"/>
      <c r="I272" s="16"/>
      <c r="J272" s="16"/>
      <c r="K272" s="16"/>
      <c r="L272" s="16"/>
      <c r="M272" s="16"/>
      <c r="N272" s="16"/>
      <c r="O272" s="16"/>
      <c r="P272" s="16"/>
      <c r="Q272" s="16"/>
      <c r="R272" s="16"/>
      <c r="S272" s="16"/>
      <c r="T272" s="16"/>
      <c r="U272" s="16"/>
      <c r="V272" s="16"/>
      <c r="W272" s="16"/>
      <c r="X272" s="16"/>
      <c r="Y272" s="16"/>
      <c r="Z272" s="16"/>
      <c r="AA272" s="16"/>
      <c r="AB272" s="16"/>
      <c r="AC272" s="16"/>
      <c r="AD272" s="16"/>
      <c r="AE272" s="16"/>
      <c r="AF272" s="16"/>
    </row>
    <row r="273" spans="1:32" s="17" customFormat="1" ht="12.9" customHeight="1">
      <c r="A273" s="106"/>
      <c r="B273" s="16"/>
      <c r="C273" s="16"/>
      <c r="D273" s="16"/>
      <c r="E273" s="16"/>
      <c r="F273" s="16"/>
      <c r="G273" s="16"/>
      <c r="H273" s="16"/>
      <c r="I273" s="16"/>
      <c r="J273" s="16"/>
      <c r="K273" s="16"/>
      <c r="L273" s="16"/>
      <c r="M273" s="16"/>
      <c r="N273" s="16"/>
      <c r="O273" s="16"/>
      <c r="P273" s="16"/>
      <c r="Q273" s="16"/>
      <c r="R273" s="16"/>
      <c r="S273" s="16"/>
      <c r="T273" s="16"/>
      <c r="U273" s="16"/>
      <c r="V273" s="16"/>
      <c r="W273" s="16"/>
      <c r="X273" s="16"/>
      <c r="Y273" s="16"/>
      <c r="Z273" s="16"/>
      <c r="AA273" s="16"/>
      <c r="AB273" s="16"/>
      <c r="AC273" s="16"/>
      <c r="AD273" s="16"/>
      <c r="AE273" s="16"/>
      <c r="AF273" s="16"/>
    </row>
    <row r="274" spans="1:32" s="17" customFormat="1" ht="12.9" customHeight="1">
      <c r="A274" s="106"/>
      <c r="B274" s="16"/>
      <c r="C274" s="16"/>
      <c r="D274" s="16"/>
      <c r="E274" s="16"/>
      <c r="F274" s="16"/>
      <c r="G274" s="16"/>
      <c r="H274" s="16"/>
      <c r="I274" s="16"/>
      <c r="J274" s="16"/>
      <c r="K274" s="16"/>
      <c r="L274" s="16"/>
      <c r="M274" s="16"/>
      <c r="N274" s="16"/>
      <c r="O274" s="16"/>
      <c r="P274" s="16"/>
      <c r="Q274" s="16"/>
      <c r="R274" s="16"/>
      <c r="S274" s="16"/>
      <c r="T274" s="16"/>
      <c r="U274" s="16"/>
      <c r="V274" s="16"/>
      <c r="W274" s="16"/>
      <c r="X274" s="16"/>
      <c r="Y274" s="16"/>
      <c r="Z274" s="16"/>
      <c r="AA274" s="16"/>
      <c r="AB274" s="16"/>
      <c r="AC274" s="16"/>
      <c r="AD274" s="16"/>
      <c r="AE274" s="16"/>
      <c r="AF274" s="16"/>
    </row>
    <row r="275" spans="1:32" s="17" customFormat="1" ht="12.9" customHeight="1">
      <c r="A275" s="106"/>
      <c r="B275" s="16"/>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row>
    <row r="276" spans="1:32" ht="12.9" customHeight="1">
      <c r="AD276" s="13"/>
      <c r="AE276" s="13"/>
      <c r="AF276" s="13"/>
    </row>
    <row r="277" spans="1:32" ht="12.9" customHeight="1">
      <c r="AD277" s="13"/>
      <c r="AE277" s="13"/>
      <c r="AF277" s="13"/>
    </row>
    <row r="278" spans="1:32" ht="12.9" customHeight="1">
      <c r="AD278" s="13"/>
      <c r="AE278" s="13"/>
      <c r="AF278" s="13"/>
    </row>
    <row r="279" spans="1:32" ht="12.9" customHeight="1">
      <c r="AD279" s="13"/>
      <c r="AE279" s="13"/>
      <c r="AF279" s="13"/>
    </row>
    <row r="280" spans="1:32" ht="12.9" customHeight="1">
      <c r="AD280" s="13"/>
      <c r="AE280" s="13"/>
      <c r="AF280" s="13"/>
    </row>
    <row r="281" spans="1:32" ht="12.9" customHeight="1">
      <c r="AD281" s="13"/>
      <c r="AE281" s="13"/>
      <c r="AF281" s="13"/>
    </row>
    <row r="282" spans="1:32" ht="12.9" customHeight="1">
      <c r="AD282" s="13"/>
      <c r="AE282" s="13"/>
      <c r="AF282" s="13"/>
    </row>
    <row r="283" spans="1:32" ht="12.9" customHeight="1">
      <c r="AD283" s="13"/>
      <c r="AE283" s="13"/>
      <c r="AF283" s="13"/>
    </row>
    <row r="284" spans="1:32" ht="12.9" customHeight="1">
      <c r="AD284" s="13"/>
      <c r="AE284" s="13"/>
      <c r="AF284" s="13"/>
    </row>
    <row r="285" spans="1:32" ht="12.9" customHeight="1">
      <c r="AD285" s="13"/>
      <c r="AE285" s="13"/>
      <c r="AF285" s="13"/>
    </row>
    <row r="286" spans="1:32" ht="12.9" customHeight="1">
      <c r="AD286" s="13"/>
      <c r="AE286" s="13"/>
      <c r="AF286" s="13"/>
    </row>
    <row r="287" spans="1:32" ht="12.9" customHeight="1">
      <c r="AD287" s="13"/>
      <c r="AE287" s="13"/>
      <c r="AF287" s="13"/>
    </row>
    <row r="288" spans="1:32" ht="12.9" customHeight="1">
      <c r="AD288" s="13"/>
      <c r="AE288" s="13"/>
      <c r="AF288" s="13"/>
    </row>
    <row r="289" spans="30:32" ht="12.9" customHeight="1">
      <c r="AD289" s="13"/>
      <c r="AE289" s="13"/>
      <c r="AF289" s="13"/>
    </row>
    <row r="290" spans="30:32" ht="12.9" customHeight="1">
      <c r="AD290" s="13"/>
      <c r="AE290" s="13"/>
      <c r="AF290" s="13"/>
    </row>
    <row r="291" spans="30:32" ht="12.9" customHeight="1">
      <c r="AD291" s="13"/>
      <c r="AE291" s="13"/>
      <c r="AF291" s="13"/>
    </row>
    <row r="292" spans="30:32" ht="12.9" customHeight="1">
      <c r="AD292" s="13"/>
      <c r="AE292" s="13"/>
      <c r="AF292" s="13"/>
    </row>
    <row r="293" spans="30:32" ht="12.9" customHeight="1">
      <c r="AD293" s="13"/>
      <c r="AE293" s="13"/>
      <c r="AF293" s="13"/>
    </row>
    <row r="294" spans="30:32" ht="12.9" customHeight="1">
      <c r="AD294" s="13"/>
      <c r="AE294" s="13"/>
      <c r="AF294" s="13"/>
    </row>
    <row r="295" spans="30:32" ht="12.9" customHeight="1">
      <c r="AD295" s="13"/>
      <c r="AE295" s="13"/>
      <c r="AF295" s="13"/>
    </row>
    <row r="296" spans="30:32" ht="12.9" customHeight="1">
      <c r="AD296" s="13"/>
      <c r="AE296" s="13"/>
      <c r="AF296" s="13"/>
    </row>
    <row r="297" spans="30:32" ht="12.9" customHeight="1">
      <c r="AD297" s="13"/>
      <c r="AE297" s="13"/>
      <c r="AF297" s="13"/>
    </row>
    <row r="298" spans="30:32" ht="12.9" customHeight="1">
      <c r="AD298" s="13"/>
      <c r="AE298" s="13"/>
      <c r="AF298" s="13"/>
    </row>
    <row r="299" spans="30:32" ht="12.9" customHeight="1">
      <c r="AD299" s="13"/>
      <c r="AE299" s="13"/>
      <c r="AF299" s="13"/>
    </row>
    <row r="300" spans="30:32" ht="12.9" customHeight="1">
      <c r="AD300" s="13"/>
      <c r="AE300" s="13"/>
      <c r="AF300" s="13"/>
    </row>
    <row r="301" spans="30:32" ht="12.9" customHeight="1">
      <c r="AD301" s="13"/>
      <c r="AE301" s="13"/>
      <c r="AF301" s="13"/>
    </row>
    <row r="302" spans="30:32" ht="12.9" customHeight="1">
      <c r="AD302" s="13"/>
      <c r="AE302" s="13"/>
      <c r="AF302" s="13"/>
    </row>
    <row r="303" spans="30:32" ht="12.9" customHeight="1">
      <c r="AD303" s="13"/>
      <c r="AE303" s="13"/>
      <c r="AF303" s="13"/>
    </row>
    <row r="304" spans="30:32" ht="12.9" customHeight="1">
      <c r="AD304" s="13"/>
      <c r="AE304" s="13"/>
      <c r="AF304" s="13"/>
    </row>
    <row r="305" spans="30:32" ht="12.9" customHeight="1">
      <c r="AD305" s="13"/>
      <c r="AE305" s="13"/>
      <c r="AF305" s="13"/>
    </row>
    <row r="306" spans="30:32" ht="12.9" customHeight="1">
      <c r="AD306" s="13"/>
      <c r="AE306" s="13"/>
      <c r="AF306" s="13"/>
    </row>
    <row r="307" spans="30:32" ht="12.9" customHeight="1">
      <c r="AD307" s="13"/>
      <c r="AE307" s="13"/>
      <c r="AF307" s="13"/>
    </row>
    <row r="308" spans="30:32" ht="12.9" customHeight="1">
      <c r="AD308" s="13"/>
      <c r="AE308" s="13"/>
      <c r="AF308" s="13"/>
    </row>
    <row r="309" spans="30:32" ht="12.9" customHeight="1">
      <c r="AD309" s="13"/>
      <c r="AE309" s="13"/>
      <c r="AF309" s="13"/>
    </row>
    <row r="310" spans="30:32" ht="12.9" customHeight="1">
      <c r="AD310" s="13"/>
      <c r="AE310" s="13"/>
      <c r="AF310" s="13"/>
    </row>
    <row r="311" spans="30:32" ht="12.9" customHeight="1">
      <c r="AD311" s="13"/>
      <c r="AE311" s="13"/>
      <c r="AF311" s="13"/>
    </row>
    <row r="312" spans="30:32" ht="12.9" customHeight="1">
      <c r="AD312" s="13"/>
      <c r="AE312" s="13"/>
      <c r="AF312" s="13"/>
    </row>
    <row r="313" spans="30:32" ht="12.9" customHeight="1">
      <c r="AD313" s="13"/>
      <c r="AE313" s="13"/>
      <c r="AF313" s="13"/>
    </row>
    <row r="314" spans="30:32" ht="12.9" customHeight="1">
      <c r="AD314" s="13"/>
      <c r="AE314" s="13"/>
      <c r="AF314" s="13"/>
    </row>
    <row r="315" spans="30:32" ht="12.9" customHeight="1">
      <c r="AD315" s="13"/>
      <c r="AE315" s="13"/>
      <c r="AF315" s="13"/>
    </row>
    <row r="316" spans="30:32" ht="12.9" customHeight="1">
      <c r="AD316" s="13"/>
      <c r="AE316" s="13"/>
      <c r="AF316" s="13"/>
    </row>
    <row r="317" spans="30:32" ht="12.9" customHeight="1">
      <c r="AD317" s="13"/>
      <c r="AE317" s="13"/>
      <c r="AF317" s="13"/>
    </row>
    <row r="318" spans="30:32" ht="12.9" customHeight="1">
      <c r="AD318" s="13"/>
      <c r="AE318" s="13"/>
      <c r="AF318" s="13"/>
    </row>
    <row r="319" spans="30:32" ht="12.9" customHeight="1">
      <c r="AD319" s="13"/>
      <c r="AE319" s="13"/>
      <c r="AF319" s="13"/>
    </row>
    <row r="320" spans="30:32" ht="12.9" customHeight="1">
      <c r="AD320" s="13"/>
      <c r="AE320" s="13"/>
      <c r="AF320" s="13"/>
    </row>
    <row r="321" spans="30:32" ht="12.9" customHeight="1">
      <c r="AD321" s="13"/>
      <c r="AE321" s="13"/>
      <c r="AF321" s="13"/>
    </row>
    <row r="322" spans="30:32" ht="12.9" customHeight="1">
      <c r="AD322" s="13"/>
      <c r="AE322" s="13"/>
      <c r="AF322" s="13"/>
    </row>
    <row r="323" spans="30:32" ht="12.9" customHeight="1">
      <c r="AD323" s="13"/>
      <c r="AE323" s="13"/>
      <c r="AF323" s="13"/>
    </row>
    <row r="324" spans="30:32" ht="12.9" customHeight="1">
      <c r="AD324" s="13"/>
      <c r="AE324" s="13"/>
      <c r="AF324" s="13"/>
    </row>
    <row r="325" spans="30:32" ht="12.9" customHeight="1">
      <c r="AD325" s="13"/>
      <c r="AE325" s="13"/>
      <c r="AF325" s="13"/>
    </row>
    <row r="326" spans="30:32" ht="12.9" customHeight="1">
      <c r="AD326" s="13"/>
      <c r="AE326" s="13"/>
      <c r="AF326" s="13"/>
    </row>
    <row r="327" spans="30:32" ht="12.9" customHeight="1">
      <c r="AD327" s="13"/>
      <c r="AE327" s="13"/>
      <c r="AF327" s="13"/>
    </row>
    <row r="328" spans="30:32" ht="12.9" customHeight="1">
      <c r="AD328" s="13"/>
      <c r="AE328" s="13"/>
      <c r="AF328" s="13"/>
    </row>
    <row r="329" spans="30:32" ht="12.9" customHeight="1">
      <c r="AD329" s="13"/>
      <c r="AE329" s="13"/>
      <c r="AF329" s="13"/>
    </row>
    <row r="330" spans="30:32" ht="12.9" customHeight="1">
      <c r="AD330" s="13"/>
      <c r="AE330" s="13"/>
      <c r="AF330" s="13"/>
    </row>
    <row r="331" spans="30:32" ht="12.9" customHeight="1">
      <c r="AD331" s="13"/>
      <c r="AE331" s="13"/>
      <c r="AF331" s="13"/>
    </row>
    <row r="332" spans="30:32" ht="12.9" customHeight="1">
      <c r="AD332" s="13"/>
      <c r="AE332" s="13"/>
      <c r="AF332" s="13"/>
    </row>
    <row r="333" spans="30:32" ht="12.9" customHeight="1">
      <c r="AD333" s="13"/>
      <c r="AE333" s="13"/>
      <c r="AF333" s="13"/>
    </row>
    <row r="334" spans="30:32" ht="12.9" customHeight="1">
      <c r="AD334" s="13"/>
      <c r="AE334" s="13"/>
      <c r="AF334" s="13"/>
    </row>
    <row r="335" spans="30:32" ht="12.9" customHeight="1">
      <c r="AD335" s="13"/>
      <c r="AE335" s="13"/>
      <c r="AF335" s="13"/>
    </row>
    <row r="336" spans="30:32" ht="12.9" customHeight="1">
      <c r="AD336" s="13"/>
      <c r="AE336" s="13"/>
      <c r="AF336" s="13"/>
    </row>
    <row r="337" spans="30:32" ht="12.9" customHeight="1">
      <c r="AD337" s="13"/>
      <c r="AE337" s="13"/>
      <c r="AF337" s="13"/>
    </row>
    <row r="338" spans="30:32" ht="12.9" customHeight="1">
      <c r="AD338" s="13"/>
      <c r="AE338" s="13"/>
      <c r="AF338" s="13"/>
    </row>
    <row r="339" spans="30:32" ht="12.9" customHeight="1">
      <c r="AD339" s="13"/>
      <c r="AE339" s="13"/>
      <c r="AF339" s="13"/>
    </row>
    <row r="340" spans="30:32" ht="12.9" customHeight="1">
      <c r="AD340" s="13"/>
      <c r="AE340" s="13"/>
      <c r="AF340" s="13"/>
    </row>
    <row r="341" spans="30:32" ht="12.9" customHeight="1">
      <c r="AD341" s="13"/>
      <c r="AE341" s="13"/>
      <c r="AF341" s="13"/>
    </row>
    <row r="342" spans="30:32" ht="12.9" customHeight="1">
      <c r="AD342" s="13"/>
      <c r="AE342" s="13"/>
      <c r="AF342" s="13"/>
    </row>
    <row r="343" spans="30:32" ht="12.9" customHeight="1">
      <c r="AD343" s="13"/>
      <c r="AE343" s="13"/>
      <c r="AF343" s="13"/>
    </row>
    <row r="344" spans="30:32" ht="12.9" customHeight="1">
      <c r="AD344" s="13"/>
      <c r="AE344" s="13"/>
      <c r="AF344" s="13"/>
    </row>
    <row r="345" spans="30:32" ht="12.9" customHeight="1">
      <c r="AD345" s="13"/>
      <c r="AE345" s="13"/>
      <c r="AF345" s="13"/>
    </row>
    <row r="346" spans="30:32" ht="12.9" customHeight="1">
      <c r="AD346" s="13"/>
      <c r="AE346" s="13"/>
      <c r="AF346" s="13"/>
    </row>
    <row r="347" spans="30:32" ht="12.9" customHeight="1">
      <c r="AD347" s="13"/>
      <c r="AE347" s="13"/>
      <c r="AF347" s="13"/>
    </row>
    <row r="348" spans="30:32" ht="12.9" customHeight="1">
      <c r="AD348" s="13"/>
      <c r="AE348" s="13"/>
      <c r="AF348" s="13"/>
    </row>
    <row r="349" spans="30:32" ht="12.9" customHeight="1">
      <c r="AD349" s="13"/>
      <c r="AE349" s="13"/>
      <c r="AF349" s="13"/>
    </row>
    <row r="350" spans="30:32" ht="12.9" customHeight="1">
      <c r="AD350" s="13"/>
      <c r="AE350" s="13"/>
      <c r="AF350" s="13"/>
    </row>
    <row r="351" spans="30:32" ht="12.9" customHeight="1">
      <c r="AD351" s="13"/>
      <c r="AE351" s="13"/>
      <c r="AF351" s="13"/>
    </row>
    <row r="352" spans="30:32" ht="12.9" customHeight="1">
      <c r="AD352" s="13"/>
      <c r="AE352" s="13"/>
      <c r="AF352" s="13"/>
    </row>
    <row r="353" spans="30:32" ht="12.9" customHeight="1">
      <c r="AD353" s="13"/>
      <c r="AE353" s="13"/>
      <c r="AF353" s="13"/>
    </row>
    <row r="354" spans="30:32" ht="12.9" customHeight="1">
      <c r="AD354" s="13"/>
      <c r="AE354" s="13"/>
      <c r="AF354" s="13"/>
    </row>
    <row r="355" spans="30:32" ht="12.9" customHeight="1">
      <c r="AD355" s="13"/>
      <c r="AE355" s="13"/>
      <c r="AF355" s="13"/>
    </row>
    <row r="356" spans="30:32" ht="12.9" customHeight="1">
      <c r="AD356" s="13"/>
      <c r="AE356" s="13"/>
      <c r="AF356" s="13"/>
    </row>
    <row r="357" spans="30:32" ht="12.9" customHeight="1">
      <c r="AD357" s="13"/>
      <c r="AE357" s="13"/>
      <c r="AF357" s="13"/>
    </row>
    <row r="358" spans="30:32" ht="12.9" customHeight="1">
      <c r="AD358" s="13"/>
      <c r="AE358" s="13"/>
      <c r="AF358" s="13"/>
    </row>
    <row r="359" spans="30:32" ht="12.9" customHeight="1">
      <c r="AD359" s="13"/>
      <c r="AE359" s="13"/>
      <c r="AF359" s="13"/>
    </row>
    <row r="360" spans="30:32" ht="12.9" customHeight="1">
      <c r="AD360" s="13"/>
      <c r="AE360" s="13"/>
      <c r="AF360" s="13"/>
    </row>
    <row r="361" spans="30:32" ht="12.9" customHeight="1">
      <c r="AD361" s="13"/>
      <c r="AE361" s="13"/>
      <c r="AF361" s="13"/>
    </row>
    <row r="362" spans="30:32" ht="12.9" customHeight="1">
      <c r="AD362" s="13"/>
      <c r="AE362" s="13"/>
      <c r="AF362" s="13"/>
    </row>
    <row r="363" spans="30:32" ht="12.9" customHeight="1">
      <c r="AD363" s="13"/>
      <c r="AE363" s="13"/>
      <c r="AF363" s="13"/>
    </row>
    <row r="364" spans="30:32" ht="12.9" customHeight="1">
      <c r="AD364" s="13"/>
      <c r="AE364" s="13"/>
      <c r="AF364" s="13"/>
    </row>
    <row r="365" spans="30:32" ht="12.9" customHeight="1">
      <c r="AD365" s="13"/>
      <c r="AE365" s="13"/>
      <c r="AF365" s="13"/>
    </row>
    <row r="366" spans="30:32" ht="12.9" customHeight="1">
      <c r="AD366" s="13"/>
      <c r="AE366" s="13"/>
      <c r="AF366" s="13"/>
    </row>
    <row r="367" spans="30:32" ht="12.9" customHeight="1">
      <c r="AD367" s="13"/>
      <c r="AE367" s="13"/>
      <c r="AF367" s="13"/>
    </row>
    <row r="368" spans="30:32" ht="12.9" customHeight="1">
      <c r="AD368" s="13"/>
      <c r="AE368" s="13"/>
      <c r="AF368" s="13"/>
    </row>
    <row r="369" spans="30:32" ht="12.9" customHeight="1">
      <c r="AD369" s="13"/>
      <c r="AE369" s="13"/>
      <c r="AF369" s="13"/>
    </row>
    <row r="370" spans="30:32" ht="12.9" customHeight="1">
      <c r="AD370" s="13"/>
      <c r="AE370" s="13"/>
      <c r="AF370" s="13"/>
    </row>
    <row r="371" spans="30:32" ht="12.9" customHeight="1">
      <c r="AD371" s="13"/>
      <c r="AE371" s="13"/>
      <c r="AF371" s="13"/>
    </row>
    <row r="372" spans="30:32" ht="12.9" customHeight="1">
      <c r="AD372" s="13"/>
      <c r="AE372" s="13"/>
      <c r="AF372" s="13"/>
    </row>
    <row r="373" spans="30:32" ht="12.9" customHeight="1">
      <c r="AD373" s="13"/>
      <c r="AE373" s="13"/>
      <c r="AF373" s="13"/>
    </row>
    <row r="374" spans="30:32" ht="12.9" customHeight="1">
      <c r="AD374" s="13"/>
      <c r="AE374" s="13"/>
      <c r="AF374" s="13"/>
    </row>
    <row r="375" spans="30:32" ht="12.9" customHeight="1">
      <c r="AD375" s="13"/>
      <c r="AE375" s="13"/>
      <c r="AF375" s="13"/>
    </row>
    <row r="376" spans="30:32" ht="12.9" customHeight="1">
      <c r="AD376" s="13"/>
      <c r="AE376" s="13"/>
      <c r="AF376" s="13"/>
    </row>
    <row r="377" spans="30:32" ht="12.9" customHeight="1">
      <c r="AD377" s="13"/>
      <c r="AE377" s="13"/>
      <c r="AF377" s="13"/>
    </row>
    <row r="378" spans="30:32" ht="12.9" customHeight="1">
      <c r="AD378" s="13"/>
      <c r="AE378" s="13"/>
      <c r="AF378" s="13"/>
    </row>
    <row r="379" spans="30:32" ht="12.9" customHeight="1">
      <c r="AD379" s="13"/>
      <c r="AE379" s="13"/>
      <c r="AF379" s="13"/>
    </row>
    <row r="380" spans="30:32" ht="12.9" customHeight="1">
      <c r="AD380" s="13"/>
      <c r="AE380" s="13"/>
      <c r="AF380" s="13"/>
    </row>
    <row r="381" spans="30:32" ht="12.9" customHeight="1">
      <c r="AD381" s="13"/>
      <c r="AE381" s="13"/>
      <c r="AF381" s="13"/>
    </row>
    <row r="382" spans="30:32" ht="12.9" customHeight="1">
      <c r="AD382" s="13"/>
      <c r="AE382" s="13"/>
      <c r="AF382" s="13"/>
    </row>
    <row r="383" spans="30:32" ht="12.9" customHeight="1">
      <c r="AD383" s="13"/>
      <c r="AE383" s="13"/>
      <c r="AF383" s="13"/>
    </row>
    <row r="384" spans="30:32" ht="12.9" customHeight="1">
      <c r="AD384" s="13"/>
      <c r="AE384" s="13"/>
      <c r="AF384" s="13"/>
    </row>
    <row r="385" spans="30:32" ht="12.9" customHeight="1">
      <c r="AD385" s="13"/>
      <c r="AE385" s="13"/>
      <c r="AF385" s="13"/>
    </row>
    <row r="386" spans="30:32" ht="12.9" customHeight="1">
      <c r="AD386" s="13"/>
      <c r="AE386" s="13"/>
      <c r="AF386" s="13"/>
    </row>
    <row r="387" spans="30:32" ht="12.9" customHeight="1">
      <c r="AD387" s="13"/>
      <c r="AE387" s="13"/>
      <c r="AF387" s="13"/>
    </row>
    <row r="388" spans="30:32" ht="12.9" customHeight="1">
      <c r="AD388" s="13"/>
      <c r="AE388" s="13"/>
      <c r="AF388" s="13"/>
    </row>
    <row r="389" spans="30:32" ht="12.9" customHeight="1">
      <c r="AD389" s="13"/>
      <c r="AE389" s="13"/>
      <c r="AF389" s="13"/>
    </row>
    <row r="390" spans="30:32" ht="12.9" customHeight="1">
      <c r="AD390" s="13"/>
      <c r="AE390" s="13"/>
      <c r="AF390" s="13"/>
    </row>
    <row r="391" spans="30:32" ht="12.9" customHeight="1">
      <c r="AD391" s="13"/>
      <c r="AE391" s="13"/>
      <c r="AF391" s="13"/>
    </row>
    <row r="392" spans="30:32" ht="12.9" customHeight="1">
      <c r="AD392" s="13"/>
      <c r="AE392" s="13"/>
      <c r="AF392" s="13"/>
    </row>
    <row r="393" spans="30:32" ht="12.9" customHeight="1">
      <c r="AD393" s="13"/>
      <c r="AE393" s="13"/>
      <c r="AF393" s="13"/>
    </row>
    <row r="394" spans="30:32" ht="12.9" customHeight="1">
      <c r="AD394" s="13"/>
      <c r="AE394" s="13"/>
      <c r="AF394" s="13"/>
    </row>
    <row r="395" spans="30:32" ht="12.9" customHeight="1">
      <c r="AD395" s="13"/>
      <c r="AE395" s="13"/>
      <c r="AF395" s="13"/>
    </row>
    <row r="396" spans="30:32" ht="12.9" customHeight="1">
      <c r="AD396" s="13"/>
      <c r="AE396" s="13"/>
      <c r="AF396" s="13"/>
    </row>
    <row r="397" spans="30:32" ht="12.9" customHeight="1">
      <c r="AD397" s="13"/>
      <c r="AE397" s="13"/>
      <c r="AF397" s="13"/>
    </row>
    <row r="398" spans="30:32" ht="12.9" customHeight="1">
      <c r="AD398" s="13"/>
      <c r="AE398" s="13"/>
      <c r="AF398" s="13"/>
    </row>
    <row r="399" spans="30:32" ht="12.9" customHeight="1">
      <c r="AD399" s="13"/>
      <c r="AE399" s="13"/>
      <c r="AF399" s="13"/>
    </row>
    <row r="400" spans="30:32" ht="12.9" customHeight="1">
      <c r="AD400" s="13"/>
      <c r="AE400" s="13"/>
      <c r="AF400" s="13"/>
    </row>
    <row r="401" spans="30:32" ht="12.9" customHeight="1">
      <c r="AD401" s="13"/>
      <c r="AE401" s="13"/>
      <c r="AF401" s="13"/>
    </row>
    <row r="402" spans="30:32" ht="12.9" customHeight="1">
      <c r="AD402" s="13"/>
      <c r="AE402" s="13"/>
      <c r="AF402" s="13"/>
    </row>
    <row r="403" spans="30:32" ht="12.9" customHeight="1">
      <c r="AD403" s="13"/>
      <c r="AE403" s="13"/>
      <c r="AF403" s="13"/>
    </row>
    <row r="404" spans="30:32" ht="12.9" customHeight="1">
      <c r="AD404" s="13"/>
      <c r="AE404" s="13"/>
      <c r="AF404" s="13"/>
    </row>
    <row r="405" spans="30:32" ht="12.9" customHeight="1">
      <c r="AD405" s="13"/>
      <c r="AE405" s="13"/>
      <c r="AF405" s="13"/>
    </row>
    <row r="406" spans="30:32" ht="12.9" customHeight="1">
      <c r="AD406" s="13"/>
      <c r="AE406" s="13"/>
      <c r="AF406" s="13"/>
    </row>
    <row r="407" spans="30:32" ht="12.9" customHeight="1">
      <c r="AD407" s="13"/>
      <c r="AE407" s="13"/>
      <c r="AF407" s="13"/>
    </row>
    <row r="408" spans="30:32" ht="12.9" customHeight="1">
      <c r="AD408" s="13"/>
      <c r="AE408" s="13"/>
      <c r="AF408" s="13"/>
    </row>
    <row r="409" spans="30:32" ht="12.9" customHeight="1">
      <c r="AD409" s="13"/>
      <c r="AE409" s="13"/>
      <c r="AF409" s="13"/>
    </row>
    <row r="410" spans="30:32" ht="12.9" customHeight="1">
      <c r="AD410" s="13"/>
      <c r="AE410" s="13"/>
      <c r="AF410" s="13"/>
    </row>
    <row r="411" spans="30:32" ht="12.9" customHeight="1">
      <c r="AD411" s="13"/>
      <c r="AE411" s="13"/>
      <c r="AF411" s="13"/>
    </row>
    <row r="412" spans="30:32" ht="12.9" customHeight="1">
      <c r="AD412" s="13"/>
      <c r="AE412" s="13"/>
      <c r="AF412" s="13"/>
    </row>
    <row r="413" spans="30:32" ht="12.9" customHeight="1">
      <c r="AD413" s="13"/>
      <c r="AE413" s="13"/>
      <c r="AF413" s="13"/>
    </row>
    <row r="414" spans="30:32" ht="12.9" customHeight="1">
      <c r="AD414" s="13"/>
      <c r="AE414" s="13"/>
      <c r="AF414" s="13"/>
    </row>
    <row r="415" spans="30:32" ht="12.9" customHeight="1">
      <c r="AD415" s="13"/>
      <c r="AE415" s="13"/>
      <c r="AF415" s="13"/>
    </row>
    <row r="416" spans="30:32" ht="12.9" customHeight="1">
      <c r="AD416" s="13"/>
      <c r="AE416" s="13"/>
      <c r="AF416" s="13"/>
    </row>
    <row r="417" spans="30:32" ht="12.9" customHeight="1">
      <c r="AD417" s="13"/>
      <c r="AE417" s="13"/>
      <c r="AF417" s="13"/>
    </row>
    <row r="418" spans="30:32" ht="12.9" customHeight="1">
      <c r="AD418" s="13"/>
      <c r="AE418" s="13"/>
      <c r="AF418" s="13"/>
    </row>
    <row r="419" spans="30:32" ht="12.9" customHeight="1">
      <c r="AD419" s="13"/>
      <c r="AE419" s="13"/>
      <c r="AF419" s="13"/>
    </row>
    <row r="420" spans="30:32" ht="12.9" customHeight="1">
      <c r="AD420" s="13"/>
      <c r="AE420" s="13"/>
      <c r="AF420" s="13"/>
    </row>
    <row r="421" spans="30:32" ht="12.9" customHeight="1">
      <c r="AD421" s="13"/>
      <c r="AE421" s="13"/>
      <c r="AF421" s="13"/>
    </row>
    <row r="422" spans="30:32" ht="12.9" customHeight="1">
      <c r="AD422" s="13"/>
      <c r="AE422" s="13"/>
      <c r="AF422" s="13"/>
    </row>
    <row r="423" spans="30:32" ht="12.9" customHeight="1">
      <c r="AD423" s="13"/>
      <c r="AE423" s="13"/>
      <c r="AF423" s="13"/>
    </row>
    <row r="424" spans="30:32" ht="12.9" customHeight="1">
      <c r="AD424" s="13"/>
      <c r="AE424" s="13"/>
      <c r="AF424" s="13"/>
    </row>
    <row r="425" spans="30:32" ht="12.9" customHeight="1">
      <c r="AD425" s="13"/>
      <c r="AE425" s="13"/>
      <c r="AF425" s="13"/>
    </row>
    <row r="426" spans="30:32" ht="12.9" customHeight="1">
      <c r="AD426" s="13"/>
      <c r="AE426" s="13"/>
      <c r="AF426" s="13"/>
    </row>
    <row r="427" spans="30:32" ht="12.9" customHeight="1">
      <c r="AD427" s="13"/>
      <c r="AE427" s="13"/>
      <c r="AF427" s="13"/>
    </row>
    <row r="428" spans="30:32" ht="12.9" customHeight="1">
      <c r="AD428" s="13"/>
      <c r="AE428" s="13"/>
      <c r="AF428" s="13"/>
    </row>
    <row r="429" spans="30:32" ht="12.9" customHeight="1">
      <c r="AD429" s="13"/>
      <c r="AE429" s="13"/>
      <c r="AF429" s="13"/>
    </row>
    <row r="430" spans="30:32" ht="12.9" customHeight="1">
      <c r="AD430" s="13"/>
      <c r="AE430" s="13"/>
      <c r="AF430" s="13"/>
    </row>
    <row r="431" spans="30:32" ht="12.9" customHeight="1">
      <c r="AD431" s="13"/>
      <c r="AE431" s="13"/>
      <c r="AF431" s="13"/>
    </row>
    <row r="432" spans="30:32" ht="12.9" customHeight="1">
      <c r="AD432" s="13"/>
      <c r="AE432" s="13"/>
      <c r="AF432" s="13"/>
    </row>
    <row r="433" spans="30:32" ht="12.9" customHeight="1">
      <c r="AD433" s="13"/>
      <c r="AE433" s="13"/>
      <c r="AF433" s="13"/>
    </row>
    <row r="434" spans="30:32" ht="12.9" customHeight="1">
      <c r="AD434" s="13"/>
      <c r="AE434" s="13"/>
      <c r="AF434" s="13"/>
    </row>
    <row r="435" spans="30:32" ht="12.9" customHeight="1">
      <c r="AD435" s="13"/>
      <c r="AE435" s="13"/>
      <c r="AF435" s="13"/>
    </row>
    <row r="436" spans="30:32" ht="12.9" customHeight="1">
      <c r="AD436" s="13"/>
      <c r="AE436" s="13"/>
      <c r="AF436" s="13"/>
    </row>
    <row r="437" spans="30:32" ht="12.9" customHeight="1">
      <c r="AD437" s="13"/>
      <c r="AE437" s="13"/>
      <c r="AF437" s="13"/>
    </row>
    <row r="438" spans="30:32" ht="12.9" customHeight="1">
      <c r="AD438" s="13"/>
      <c r="AE438" s="13"/>
      <c r="AF438" s="13"/>
    </row>
    <row r="439" spans="30:32" ht="12.9" customHeight="1">
      <c r="AD439" s="13"/>
      <c r="AE439" s="13"/>
      <c r="AF439" s="13"/>
    </row>
    <row r="440" spans="30:32" ht="12.9" customHeight="1">
      <c r="AD440" s="13"/>
      <c r="AE440" s="13"/>
      <c r="AF440" s="13"/>
    </row>
    <row r="441" spans="30:32" ht="12.9" customHeight="1">
      <c r="AD441" s="13"/>
      <c r="AE441" s="13"/>
      <c r="AF441" s="13"/>
    </row>
    <row r="442" spans="30:32" ht="12.9" customHeight="1">
      <c r="AD442" s="13"/>
      <c r="AE442" s="13"/>
      <c r="AF442" s="13"/>
    </row>
    <row r="443" spans="30:32" ht="12.9" customHeight="1">
      <c r="AD443" s="13"/>
      <c r="AE443" s="13"/>
      <c r="AF443" s="13"/>
    </row>
    <row r="444" spans="30:32" ht="12.9" customHeight="1">
      <c r="AD444" s="13"/>
      <c r="AE444" s="13"/>
      <c r="AF444" s="13"/>
    </row>
    <row r="445" spans="30:32" ht="12.9" customHeight="1">
      <c r="AD445" s="13"/>
      <c r="AE445" s="13"/>
      <c r="AF445" s="13"/>
    </row>
    <row r="446" spans="30:32" ht="12.9" customHeight="1">
      <c r="AD446" s="13"/>
      <c r="AE446" s="13"/>
      <c r="AF446" s="13"/>
    </row>
    <row r="447" spans="30:32" ht="12.9" customHeight="1">
      <c r="AD447" s="13"/>
      <c r="AE447" s="13"/>
      <c r="AF447" s="13"/>
    </row>
    <row r="448" spans="30:32" ht="12.9" customHeight="1">
      <c r="AD448" s="13"/>
      <c r="AE448" s="13"/>
      <c r="AF448" s="13"/>
    </row>
    <row r="449" spans="30:32" ht="12.9" customHeight="1">
      <c r="AD449" s="13"/>
      <c r="AE449" s="13"/>
      <c r="AF449" s="13"/>
    </row>
    <row r="450" spans="30:32" ht="12.9" customHeight="1">
      <c r="AD450" s="13"/>
      <c r="AE450" s="13"/>
      <c r="AF450" s="13"/>
    </row>
    <row r="451" spans="30:32" ht="12.9" customHeight="1">
      <c r="AD451" s="13"/>
      <c r="AE451" s="13"/>
      <c r="AF451" s="13"/>
    </row>
    <row r="452" spans="30:32" ht="12.9" customHeight="1">
      <c r="AD452" s="13"/>
      <c r="AE452" s="13"/>
      <c r="AF452" s="13"/>
    </row>
    <row r="453" spans="30:32" ht="12.9" customHeight="1">
      <c r="AD453" s="13"/>
      <c r="AE453" s="13"/>
      <c r="AF453" s="13"/>
    </row>
    <row r="454" spans="30:32" ht="12.9" customHeight="1">
      <c r="AD454" s="13"/>
      <c r="AE454" s="13"/>
      <c r="AF454" s="13"/>
    </row>
    <row r="455" spans="30:32" ht="12.9" customHeight="1">
      <c r="AD455" s="13"/>
      <c r="AE455" s="13"/>
      <c r="AF455" s="13"/>
    </row>
    <row r="456" spans="30:32" ht="12.9" customHeight="1">
      <c r="AD456" s="13"/>
      <c r="AE456" s="13"/>
      <c r="AF456" s="13"/>
    </row>
    <row r="457" spans="30:32" ht="12.9" customHeight="1">
      <c r="AD457" s="13"/>
      <c r="AE457" s="13"/>
      <c r="AF457" s="13"/>
    </row>
    <row r="458" spans="30:32" ht="12.9" customHeight="1">
      <c r="AD458" s="13"/>
      <c r="AE458" s="13"/>
      <c r="AF458" s="13"/>
    </row>
    <row r="459" spans="30:32" ht="12.9" customHeight="1">
      <c r="AD459" s="13"/>
      <c r="AE459" s="13"/>
      <c r="AF459" s="13"/>
    </row>
    <row r="460" spans="30:32" ht="12.9" customHeight="1">
      <c r="AD460" s="13"/>
      <c r="AE460" s="13"/>
      <c r="AF460" s="13"/>
    </row>
    <row r="461" spans="30:32" ht="12.9" customHeight="1">
      <c r="AD461" s="13"/>
      <c r="AE461" s="13"/>
      <c r="AF461" s="13"/>
    </row>
    <row r="462" spans="30:32" ht="12.9" customHeight="1">
      <c r="AD462" s="13"/>
      <c r="AE462" s="13"/>
      <c r="AF462" s="13"/>
    </row>
    <row r="463" spans="30:32" ht="12.9" customHeight="1">
      <c r="AD463" s="13"/>
      <c r="AE463" s="13"/>
      <c r="AF463" s="13"/>
    </row>
    <row r="464" spans="30:32" ht="12.9" customHeight="1">
      <c r="AD464" s="13"/>
      <c r="AE464" s="13"/>
      <c r="AF464" s="13"/>
    </row>
    <row r="465" spans="30:32" ht="12.9" customHeight="1">
      <c r="AD465" s="13"/>
      <c r="AE465" s="13"/>
      <c r="AF465" s="13"/>
    </row>
    <row r="466" spans="30:32" ht="12.9" customHeight="1">
      <c r="AD466" s="13"/>
      <c r="AE466" s="13"/>
      <c r="AF466" s="13"/>
    </row>
    <row r="467" spans="30:32" ht="12.9" customHeight="1">
      <c r="AD467" s="13"/>
      <c r="AE467" s="13"/>
      <c r="AF467" s="13"/>
    </row>
    <row r="468" spans="30:32" ht="12.9" customHeight="1">
      <c r="AD468" s="13"/>
      <c r="AE468" s="13"/>
      <c r="AF468" s="13"/>
    </row>
    <row r="469" spans="30:32" ht="12.9" customHeight="1">
      <c r="AD469" s="13"/>
      <c r="AE469" s="13"/>
      <c r="AF469" s="13"/>
    </row>
    <row r="470" spans="30:32" ht="12.9" customHeight="1">
      <c r="AD470" s="13"/>
      <c r="AE470" s="13"/>
      <c r="AF470" s="13"/>
    </row>
    <row r="471" spans="30:32" ht="12.9" customHeight="1">
      <c r="AD471" s="13"/>
      <c r="AE471" s="13"/>
      <c r="AF471" s="13"/>
    </row>
    <row r="472" spans="30:32" ht="12.9" customHeight="1">
      <c r="AD472" s="13"/>
      <c r="AE472" s="13"/>
      <c r="AF472" s="13"/>
    </row>
    <row r="473" spans="30:32" ht="12.9" customHeight="1">
      <c r="AD473" s="13"/>
      <c r="AE473" s="13"/>
      <c r="AF473" s="13"/>
    </row>
    <row r="474" spans="30:32" ht="12.9" customHeight="1">
      <c r="AD474" s="13"/>
      <c r="AE474" s="13"/>
      <c r="AF474" s="13"/>
    </row>
    <row r="475" spans="30:32" ht="12.9" customHeight="1">
      <c r="AD475" s="13"/>
      <c r="AE475" s="13"/>
      <c r="AF475" s="13"/>
    </row>
    <row r="476" spans="30:32" ht="12.9" customHeight="1">
      <c r="AD476" s="13"/>
      <c r="AE476" s="13"/>
      <c r="AF476" s="13"/>
    </row>
    <row r="477" spans="30:32" ht="12.9" customHeight="1">
      <c r="AD477" s="13"/>
      <c r="AE477" s="13"/>
      <c r="AF477" s="13"/>
    </row>
    <row r="478" spans="30:32" ht="12.9" customHeight="1">
      <c r="AD478" s="13"/>
      <c r="AE478" s="13"/>
      <c r="AF478" s="13"/>
    </row>
    <row r="479" spans="30:32" ht="12.9" customHeight="1">
      <c r="AD479" s="13"/>
      <c r="AE479" s="13"/>
      <c r="AF479" s="13"/>
    </row>
    <row r="480" spans="30:32" ht="12.9" customHeight="1">
      <c r="AD480" s="13"/>
      <c r="AE480" s="13"/>
      <c r="AF480" s="13"/>
    </row>
    <row r="481" spans="30:32" ht="12.9" customHeight="1">
      <c r="AD481" s="13"/>
      <c r="AE481" s="13"/>
      <c r="AF481" s="13"/>
    </row>
    <row r="482" spans="30:32" ht="12.9" customHeight="1">
      <c r="AD482" s="13"/>
      <c r="AE482" s="13"/>
      <c r="AF482" s="13"/>
    </row>
    <row r="483" spans="30:32" ht="12.9" customHeight="1">
      <c r="AD483" s="13"/>
      <c r="AE483" s="13"/>
      <c r="AF483" s="13"/>
    </row>
    <row r="484" spans="30:32" ht="12.9" customHeight="1">
      <c r="AD484" s="13"/>
      <c r="AE484" s="13"/>
      <c r="AF484" s="13"/>
    </row>
    <row r="485" spans="30:32" ht="12.9" customHeight="1">
      <c r="AD485" s="13"/>
      <c r="AE485" s="13"/>
      <c r="AF485" s="13"/>
    </row>
    <row r="486" spans="30:32" ht="12.9" customHeight="1">
      <c r="AD486" s="13"/>
      <c r="AE486" s="13"/>
      <c r="AF486" s="13"/>
    </row>
    <row r="487" spans="30:32" ht="12.9" customHeight="1">
      <c r="AD487" s="13"/>
      <c r="AE487" s="13"/>
      <c r="AF487" s="13"/>
    </row>
    <row r="488" spans="30:32" ht="12.9" customHeight="1">
      <c r="AD488" s="13"/>
      <c r="AE488" s="13"/>
      <c r="AF488" s="13"/>
    </row>
    <row r="489" spans="30:32" ht="12.9" customHeight="1">
      <c r="AD489" s="13"/>
      <c r="AE489" s="13"/>
      <c r="AF489" s="13"/>
    </row>
    <row r="490" spans="30:32" ht="12.9" customHeight="1">
      <c r="AD490" s="13"/>
      <c r="AE490" s="13"/>
      <c r="AF490" s="13"/>
    </row>
    <row r="491" spans="30:32" ht="12.9" customHeight="1">
      <c r="AD491" s="13"/>
      <c r="AE491" s="13"/>
      <c r="AF491" s="13"/>
    </row>
    <row r="492" spans="30:32" ht="12.9" customHeight="1">
      <c r="AD492" s="13"/>
      <c r="AE492" s="13"/>
      <c r="AF492" s="13"/>
    </row>
    <row r="493" spans="30:32" ht="12.9" customHeight="1">
      <c r="AD493" s="13"/>
      <c r="AE493" s="13"/>
      <c r="AF493" s="13"/>
    </row>
    <row r="494" spans="30:32" ht="12.9" customHeight="1">
      <c r="AD494" s="13"/>
      <c r="AE494" s="13"/>
      <c r="AF494" s="13"/>
    </row>
    <row r="495" spans="30:32" ht="12.9" customHeight="1">
      <c r="AD495" s="13"/>
      <c r="AE495" s="13"/>
      <c r="AF495" s="13"/>
    </row>
    <row r="496" spans="30:32" ht="12.9" customHeight="1">
      <c r="AD496" s="13"/>
      <c r="AE496" s="13"/>
      <c r="AF496" s="13"/>
    </row>
    <row r="497" spans="30:32" ht="12.9" customHeight="1">
      <c r="AD497" s="13"/>
      <c r="AE497" s="13"/>
      <c r="AF497" s="13"/>
    </row>
    <row r="498" spans="30:32" ht="12.9" customHeight="1">
      <c r="AD498" s="13"/>
      <c r="AE498" s="13"/>
      <c r="AF498" s="13"/>
    </row>
    <row r="499" spans="30:32" ht="12.9" customHeight="1">
      <c r="AD499" s="13"/>
      <c r="AE499" s="13"/>
      <c r="AF499" s="13"/>
    </row>
    <row r="500" spans="30:32" ht="12.9" customHeight="1">
      <c r="AD500" s="13"/>
      <c r="AE500" s="13"/>
      <c r="AF500" s="13"/>
    </row>
    <row r="501" spans="30:32" ht="12.9" customHeight="1">
      <c r="AD501" s="13"/>
      <c r="AE501" s="13"/>
      <c r="AF501" s="13"/>
    </row>
    <row r="502" spans="30:32" ht="12.9" customHeight="1">
      <c r="AD502" s="13"/>
      <c r="AE502" s="13"/>
      <c r="AF502" s="13"/>
    </row>
    <row r="503" spans="30:32" ht="12.9" customHeight="1">
      <c r="AD503" s="13"/>
      <c r="AE503" s="13"/>
      <c r="AF503" s="13"/>
    </row>
    <row r="504" spans="30:32" ht="12.9" customHeight="1">
      <c r="AD504" s="13"/>
      <c r="AE504" s="13"/>
      <c r="AF504" s="13"/>
    </row>
    <row r="505" spans="30:32" ht="12.9" customHeight="1">
      <c r="AD505" s="13"/>
      <c r="AE505" s="13"/>
      <c r="AF505" s="13"/>
    </row>
    <row r="506" spans="30:32" ht="12.9" customHeight="1">
      <c r="AD506" s="13"/>
      <c r="AE506" s="13"/>
      <c r="AF506" s="13"/>
    </row>
    <row r="507" spans="30:32" ht="12.9" customHeight="1">
      <c r="AD507" s="13"/>
      <c r="AE507" s="13"/>
      <c r="AF507" s="13"/>
    </row>
    <row r="508" spans="30:32" ht="12.9" customHeight="1">
      <c r="AD508" s="13"/>
      <c r="AE508" s="13"/>
      <c r="AF508" s="13"/>
    </row>
    <row r="509" spans="30:32" ht="12.9" customHeight="1">
      <c r="AD509" s="13"/>
      <c r="AE509" s="13"/>
      <c r="AF509" s="13"/>
    </row>
    <row r="510" spans="30:32" ht="12.9" customHeight="1">
      <c r="AD510" s="13"/>
      <c r="AE510" s="13"/>
      <c r="AF510" s="13"/>
    </row>
    <row r="511" spans="30:32" ht="12.9" customHeight="1">
      <c r="AD511" s="13"/>
      <c r="AE511" s="13"/>
      <c r="AF511" s="13"/>
    </row>
    <row r="512" spans="30:32" ht="12.9" customHeight="1">
      <c r="AD512" s="13"/>
      <c r="AE512" s="13"/>
      <c r="AF512" s="13"/>
    </row>
    <row r="513" spans="30:32" ht="12.9" customHeight="1">
      <c r="AD513" s="13"/>
      <c r="AE513" s="13"/>
      <c r="AF513" s="13"/>
    </row>
    <row r="514" spans="30:32" ht="12.9" customHeight="1">
      <c r="AD514" s="13"/>
      <c r="AE514" s="13"/>
      <c r="AF514" s="13"/>
    </row>
    <row r="515" spans="30:32" ht="12.9" customHeight="1">
      <c r="AD515" s="13"/>
      <c r="AE515" s="13"/>
      <c r="AF515" s="13"/>
    </row>
    <row r="516" spans="30:32" ht="12.9" customHeight="1">
      <c r="AD516" s="13"/>
      <c r="AE516" s="13"/>
      <c r="AF516" s="13"/>
    </row>
    <row r="517" spans="30:32" ht="12.9" customHeight="1">
      <c r="AD517" s="13"/>
      <c r="AE517" s="13"/>
      <c r="AF517" s="13"/>
    </row>
    <row r="518" spans="30:32" ht="12.9" customHeight="1">
      <c r="AD518" s="13"/>
      <c r="AE518" s="13"/>
      <c r="AF518" s="13"/>
    </row>
    <row r="519" spans="30:32" ht="12.9" customHeight="1">
      <c r="AD519" s="13"/>
      <c r="AE519" s="13"/>
      <c r="AF519" s="13"/>
    </row>
    <row r="520" spans="30:32" ht="12.9" customHeight="1">
      <c r="AD520" s="13"/>
      <c r="AE520" s="13"/>
      <c r="AF520" s="13"/>
    </row>
    <row r="521" spans="30:32" ht="12.9" customHeight="1">
      <c r="AD521" s="13"/>
      <c r="AE521" s="13"/>
      <c r="AF521" s="13"/>
    </row>
    <row r="522" spans="30:32" ht="12.9" customHeight="1">
      <c r="AD522" s="13"/>
      <c r="AE522" s="13"/>
      <c r="AF522" s="13"/>
    </row>
    <row r="523" spans="30:32" ht="12.9" customHeight="1">
      <c r="AD523" s="13"/>
      <c r="AE523" s="13"/>
      <c r="AF523" s="13"/>
    </row>
    <row r="524" spans="30:32" ht="12.9" customHeight="1">
      <c r="AD524" s="13"/>
      <c r="AE524" s="13"/>
      <c r="AF524" s="13"/>
    </row>
    <row r="525" spans="30:32" ht="12.9" customHeight="1">
      <c r="AD525" s="13"/>
      <c r="AE525" s="13"/>
      <c r="AF525" s="13"/>
    </row>
    <row r="526" spans="30:32" ht="12.9" customHeight="1">
      <c r="AD526" s="13"/>
      <c r="AE526" s="13"/>
      <c r="AF526" s="13"/>
    </row>
    <row r="527" spans="30:32" ht="12.9" customHeight="1">
      <c r="AD527" s="13"/>
      <c r="AE527" s="13"/>
      <c r="AF527" s="13"/>
    </row>
    <row r="528" spans="30:32" ht="12.9" customHeight="1">
      <c r="AD528" s="13"/>
      <c r="AE528" s="13"/>
      <c r="AF528" s="13"/>
    </row>
    <row r="529" spans="30:32" ht="12.9" customHeight="1">
      <c r="AD529" s="13"/>
      <c r="AE529" s="13"/>
      <c r="AF529" s="13"/>
    </row>
    <row r="530" spans="30:32" ht="12.9" customHeight="1">
      <c r="AD530" s="13"/>
      <c r="AE530" s="13"/>
      <c r="AF530" s="13"/>
    </row>
    <row r="531" spans="30:32" ht="12.9" customHeight="1">
      <c r="AD531" s="13"/>
      <c r="AE531" s="13"/>
      <c r="AF531" s="13"/>
    </row>
    <row r="532" spans="30:32" ht="12.9" customHeight="1">
      <c r="AD532" s="13"/>
      <c r="AE532" s="13"/>
      <c r="AF532" s="13"/>
    </row>
    <row r="533" spans="30:32" ht="12.9" customHeight="1">
      <c r="AD533" s="13"/>
      <c r="AE533" s="13"/>
      <c r="AF533" s="13"/>
    </row>
    <row r="534" spans="30:32" ht="12.9" customHeight="1">
      <c r="AD534" s="13"/>
      <c r="AE534" s="13"/>
      <c r="AF534" s="13"/>
    </row>
    <row r="535" spans="30:32" ht="12.9" customHeight="1">
      <c r="AD535" s="13"/>
      <c r="AE535" s="13"/>
      <c r="AF535" s="13"/>
    </row>
    <row r="536" spans="30:32" ht="12.9" customHeight="1">
      <c r="AD536" s="13"/>
      <c r="AE536" s="13"/>
      <c r="AF536" s="13"/>
    </row>
    <row r="537" spans="30:32" ht="12.9" customHeight="1">
      <c r="AD537" s="13"/>
      <c r="AE537" s="13"/>
      <c r="AF537" s="13"/>
    </row>
    <row r="538" spans="30:32" ht="12.9" customHeight="1">
      <c r="AD538" s="13"/>
      <c r="AE538" s="13"/>
      <c r="AF538" s="13"/>
    </row>
    <row r="539" spans="30:32" ht="12.9" customHeight="1">
      <c r="AD539" s="13"/>
      <c r="AE539" s="13"/>
      <c r="AF539" s="13"/>
    </row>
    <row r="540" spans="30:32" ht="12.9" customHeight="1">
      <c r="AD540" s="13"/>
      <c r="AE540" s="13"/>
      <c r="AF540" s="13"/>
    </row>
    <row r="541" spans="30:32" ht="12.9" customHeight="1">
      <c r="AD541" s="13"/>
      <c r="AE541" s="13"/>
      <c r="AF541" s="13"/>
    </row>
    <row r="542" spans="30:32" ht="12.9" customHeight="1">
      <c r="AD542" s="13"/>
      <c r="AE542" s="13"/>
      <c r="AF542" s="13"/>
    </row>
    <row r="543" spans="30:32" ht="12.9" customHeight="1">
      <c r="AD543" s="13"/>
      <c r="AE543" s="13"/>
      <c r="AF543" s="13"/>
    </row>
    <row r="544" spans="30:32" ht="12.9" customHeight="1">
      <c r="AD544" s="13"/>
      <c r="AE544" s="13"/>
      <c r="AF544" s="13"/>
    </row>
    <row r="545" spans="30:32" ht="12.9" customHeight="1">
      <c r="AD545" s="13"/>
      <c r="AE545" s="13"/>
      <c r="AF545" s="13"/>
    </row>
    <row r="546" spans="30:32" ht="12.9" customHeight="1">
      <c r="AD546" s="13"/>
      <c r="AE546" s="13"/>
      <c r="AF546" s="13"/>
    </row>
    <row r="547" spans="30:32" ht="12.9" customHeight="1">
      <c r="AD547" s="13"/>
      <c r="AE547" s="13"/>
      <c r="AF547" s="13"/>
    </row>
    <row r="548" spans="30:32" ht="12.9" customHeight="1">
      <c r="AD548" s="13"/>
      <c r="AE548" s="13"/>
      <c r="AF548" s="13"/>
    </row>
    <row r="549" spans="30:32" ht="12.9" customHeight="1">
      <c r="AD549" s="13"/>
      <c r="AE549" s="13"/>
      <c r="AF549" s="13"/>
    </row>
    <row r="550" spans="30:32" ht="12.9" customHeight="1">
      <c r="AD550" s="13"/>
      <c r="AE550" s="13"/>
      <c r="AF550" s="13"/>
    </row>
    <row r="551" spans="30:32" ht="12.9" customHeight="1">
      <c r="AD551" s="13"/>
      <c r="AE551" s="13"/>
      <c r="AF551" s="13"/>
    </row>
    <row r="552" spans="30:32" ht="12.9" customHeight="1">
      <c r="AD552" s="13"/>
      <c r="AE552" s="13"/>
      <c r="AF552" s="13"/>
    </row>
    <row r="553" spans="30:32" ht="12.9" customHeight="1">
      <c r="AD553" s="13"/>
      <c r="AE553" s="13"/>
      <c r="AF553" s="13"/>
    </row>
    <row r="554" spans="30:32" ht="12.9" customHeight="1">
      <c r="AD554" s="13"/>
      <c r="AE554" s="13"/>
      <c r="AF554" s="13"/>
    </row>
    <row r="555" spans="30:32" ht="12.9" customHeight="1">
      <c r="AD555" s="13"/>
      <c r="AE555" s="13"/>
      <c r="AF555" s="13"/>
    </row>
    <row r="556" spans="30:32" ht="12.9" customHeight="1">
      <c r="AD556" s="13"/>
      <c r="AE556" s="13"/>
      <c r="AF556" s="13"/>
    </row>
    <row r="557" spans="30:32" ht="12.9" customHeight="1">
      <c r="AD557" s="13"/>
      <c r="AE557" s="13"/>
      <c r="AF557" s="13"/>
    </row>
    <row r="558" spans="30:32" ht="12.9" customHeight="1">
      <c r="AD558" s="13"/>
      <c r="AE558" s="13"/>
      <c r="AF558" s="13"/>
    </row>
    <row r="559" spans="30:32" ht="12.9" customHeight="1">
      <c r="AD559" s="13"/>
      <c r="AE559" s="13"/>
      <c r="AF559" s="13"/>
    </row>
    <row r="560" spans="30:32" ht="12.9" customHeight="1">
      <c r="AD560" s="13"/>
      <c r="AE560" s="13"/>
      <c r="AF560" s="13"/>
    </row>
    <row r="561" spans="30:32" ht="12.9" customHeight="1">
      <c r="AD561" s="13"/>
      <c r="AE561" s="13"/>
      <c r="AF561" s="13"/>
    </row>
    <row r="562" spans="30:32" ht="12.9" customHeight="1">
      <c r="AD562" s="13"/>
      <c r="AE562" s="13"/>
      <c r="AF562" s="13"/>
    </row>
    <row r="563" spans="30:32" ht="12.9" customHeight="1">
      <c r="AD563" s="13"/>
      <c r="AE563" s="13"/>
      <c r="AF563" s="13"/>
    </row>
  </sheetData>
  <sheetProtection algorithmName="SHA-512" hashValue="CfQkLlW/5/2emplA/Y35zErta4GQrTJtZ8T4SGEEyVaNQ8MiOpG694OYLgS2zq+F9pyG6TqJE/xTX6p7OBOBUQ==" saltValue="v18UKLnqa47EgvSHp3s9YA==" spinCount="100000" sheet="1" objects="1" scenarios="1" formatCells="0"/>
  <phoneticPr fontId="5"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61"/>
  <sheetViews>
    <sheetView topLeftCell="A2" workbookViewId="0">
      <selection activeCell="D6" sqref="D6"/>
    </sheetView>
  </sheetViews>
  <sheetFormatPr defaultColWidth="9.1796875" defaultRowHeight="14.5"/>
  <cols>
    <col min="1" max="1" width="2.81640625" bestFit="1" customWidth="1"/>
    <col min="2" max="2" width="2.81640625" customWidth="1"/>
    <col min="3" max="3" width="14.36328125" style="68" customWidth="1"/>
    <col min="4" max="4" width="12.36328125" style="62" customWidth="1"/>
    <col min="5" max="5" width="49" style="68" customWidth="1"/>
    <col min="6" max="6" width="17.1796875" bestFit="1" customWidth="1"/>
    <col min="7" max="7" width="11.36328125" customWidth="1"/>
    <col min="8" max="8" width="10.81640625" customWidth="1"/>
    <col min="9" max="9" width="11.54296875" customWidth="1"/>
    <col min="10" max="10" width="11.54296875" style="60" customWidth="1"/>
    <col min="12" max="12" width="2.81640625" style="60" customWidth="1"/>
    <col min="13" max="13" width="14.26953125" style="70" customWidth="1"/>
    <col min="14" max="14" width="10.7265625" style="70" customWidth="1"/>
    <col min="15" max="15" width="12.7265625" style="70" customWidth="1"/>
    <col min="16" max="16" width="9.54296875" style="70" customWidth="1"/>
    <col min="17" max="17" width="4.81640625" style="70" customWidth="1"/>
    <col min="18" max="18" width="11.81640625" style="70" customWidth="1"/>
    <col min="19" max="20" width="9.26953125" style="70"/>
    <col min="21" max="21" width="9.26953125" style="60"/>
  </cols>
  <sheetData>
    <row r="1" spans="1:21" ht="39.5" thickBot="1">
      <c r="A1" s="226" t="s">
        <v>89</v>
      </c>
      <c r="B1" s="227"/>
      <c r="C1" s="228"/>
      <c r="D1" s="61" t="s">
        <v>104</v>
      </c>
      <c r="E1" s="67" t="s">
        <v>105</v>
      </c>
      <c r="F1" s="75" t="s">
        <v>106</v>
      </c>
      <c r="G1" s="76" t="s">
        <v>107</v>
      </c>
      <c r="H1" s="77" t="s">
        <v>101</v>
      </c>
      <c r="I1" s="77" t="s">
        <v>95</v>
      </c>
      <c r="J1" s="77" t="s">
        <v>102</v>
      </c>
      <c r="K1" s="63" t="s">
        <v>94</v>
      </c>
      <c r="L1" s="66"/>
      <c r="M1" s="95" t="s">
        <v>98</v>
      </c>
      <c r="N1" s="95" t="s">
        <v>97</v>
      </c>
      <c r="O1" s="95" t="s">
        <v>96</v>
      </c>
      <c r="P1" s="93" t="s">
        <v>99</v>
      </c>
      <c r="Q1" s="69"/>
      <c r="R1" s="97" t="s">
        <v>116</v>
      </c>
      <c r="S1" s="99" t="s">
        <v>117</v>
      </c>
      <c r="T1" s="99" t="s">
        <v>118</v>
      </c>
      <c r="U1" s="97" t="s">
        <v>115</v>
      </c>
    </row>
    <row r="2" spans="1:21" ht="20" customHeight="1" thickBot="1">
      <c r="A2" s="212" t="s">
        <v>188</v>
      </c>
      <c r="B2" s="122" t="s">
        <v>41</v>
      </c>
      <c r="C2" s="122" t="s">
        <v>136</v>
      </c>
      <c r="D2" s="124">
        <v>1</v>
      </c>
      <c r="E2" s="118" t="s">
        <v>137</v>
      </c>
      <c r="F2" s="131" t="s">
        <v>92</v>
      </c>
      <c r="G2" s="131">
        <v>1</v>
      </c>
      <c r="H2" s="100">
        <v>5</v>
      </c>
      <c r="I2" s="100">
        <v>5</v>
      </c>
      <c r="J2" s="100">
        <v>10</v>
      </c>
      <c r="K2" s="64"/>
      <c r="M2" s="96" t="s">
        <v>57</v>
      </c>
      <c r="N2" s="96">
        <v>5</v>
      </c>
      <c r="O2" s="96">
        <v>1</v>
      </c>
      <c r="P2" s="94">
        <v>5</v>
      </c>
      <c r="R2" s="96">
        <v>1</v>
      </c>
      <c r="S2" s="96">
        <v>0</v>
      </c>
      <c r="T2" s="96">
        <v>50</v>
      </c>
      <c r="U2" s="100" t="s">
        <v>119</v>
      </c>
    </row>
    <row r="3" spans="1:21" ht="20" customHeight="1" thickBot="1">
      <c r="A3" s="213"/>
      <c r="B3" s="122" t="s">
        <v>42</v>
      </c>
      <c r="C3" s="122" t="s">
        <v>164</v>
      </c>
      <c r="D3" s="124">
        <v>2</v>
      </c>
      <c r="E3" s="119" t="s">
        <v>138</v>
      </c>
      <c r="F3" s="131" t="s">
        <v>92</v>
      </c>
      <c r="G3" s="131">
        <v>1</v>
      </c>
      <c r="H3" s="100">
        <v>5</v>
      </c>
      <c r="I3" s="100">
        <v>5</v>
      </c>
      <c r="J3" s="100">
        <v>10</v>
      </c>
      <c r="K3" s="64"/>
      <c r="M3" s="96" t="s">
        <v>100</v>
      </c>
      <c r="N3" s="96">
        <v>2</v>
      </c>
      <c r="O3" s="96">
        <v>2</v>
      </c>
      <c r="P3" s="94">
        <v>4</v>
      </c>
      <c r="R3" s="96">
        <v>2</v>
      </c>
      <c r="S3" s="96">
        <v>51</v>
      </c>
      <c r="T3" s="96">
        <v>79</v>
      </c>
      <c r="U3" s="100" t="s">
        <v>120</v>
      </c>
    </row>
    <row r="4" spans="1:21" ht="20" customHeight="1" thickBot="1">
      <c r="A4" s="213"/>
      <c r="B4" s="122" t="s">
        <v>43</v>
      </c>
      <c r="C4" s="122" t="s">
        <v>165</v>
      </c>
      <c r="D4" s="124">
        <v>3</v>
      </c>
      <c r="E4" s="119" t="s">
        <v>160</v>
      </c>
      <c r="F4" s="131" t="s">
        <v>93</v>
      </c>
      <c r="G4" s="131">
        <v>2</v>
      </c>
      <c r="H4" s="100">
        <v>2</v>
      </c>
      <c r="I4" s="100">
        <v>4</v>
      </c>
      <c r="J4" s="100">
        <v>6</v>
      </c>
      <c r="K4" s="64"/>
      <c r="M4" s="96"/>
      <c r="N4" s="96"/>
      <c r="O4" s="96">
        <v>3</v>
      </c>
      <c r="P4" s="138">
        <v>3</v>
      </c>
      <c r="Q4" s="71"/>
      <c r="R4" s="98">
        <v>3</v>
      </c>
      <c r="S4" s="101">
        <v>80</v>
      </c>
      <c r="T4" s="101">
        <v>100</v>
      </c>
      <c r="U4" s="102" t="s">
        <v>121</v>
      </c>
    </row>
    <row r="5" spans="1:21" ht="20" customHeight="1" thickBot="1">
      <c r="A5" s="213"/>
      <c r="B5" s="122" t="s">
        <v>44</v>
      </c>
      <c r="C5" s="122" t="s">
        <v>166</v>
      </c>
      <c r="D5" s="124">
        <v>4</v>
      </c>
      <c r="E5" s="119" t="s">
        <v>139</v>
      </c>
      <c r="F5" s="131" t="s">
        <v>92</v>
      </c>
      <c r="G5" s="131">
        <v>1</v>
      </c>
      <c r="H5" s="100">
        <v>5</v>
      </c>
      <c r="I5" s="100">
        <v>5</v>
      </c>
      <c r="J5" s="100">
        <v>10</v>
      </c>
      <c r="K5" s="64"/>
      <c r="P5" s="137"/>
      <c r="Q5" s="137"/>
      <c r="R5" s="92"/>
    </row>
    <row r="6" spans="1:21" ht="20" customHeight="1" thickBot="1">
      <c r="A6" s="214"/>
      <c r="B6" s="122" t="s">
        <v>45</v>
      </c>
      <c r="C6" s="122" t="s">
        <v>167</v>
      </c>
      <c r="D6" s="124">
        <v>5</v>
      </c>
      <c r="E6" s="129" t="s">
        <v>140</v>
      </c>
      <c r="F6" s="131" t="s">
        <v>92</v>
      </c>
      <c r="G6" s="131">
        <v>1</v>
      </c>
      <c r="H6" s="100">
        <v>5</v>
      </c>
      <c r="I6" s="100">
        <v>5</v>
      </c>
      <c r="J6" s="100">
        <v>10</v>
      </c>
      <c r="K6" s="64"/>
      <c r="R6" s="103"/>
    </row>
    <row r="7" spans="1:21" ht="20" customHeight="1" thickBot="1">
      <c r="A7" s="215" t="s">
        <v>187</v>
      </c>
      <c r="B7" s="122" t="s">
        <v>46</v>
      </c>
      <c r="C7" s="122" t="s">
        <v>168</v>
      </c>
      <c r="D7" s="124">
        <v>6</v>
      </c>
      <c r="E7" s="130" t="s">
        <v>141</v>
      </c>
      <c r="F7" s="131" t="s">
        <v>92</v>
      </c>
      <c r="G7" s="131">
        <v>2</v>
      </c>
      <c r="H7" s="100">
        <v>5</v>
      </c>
      <c r="I7" s="100">
        <v>4</v>
      </c>
      <c r="J7" s="100">
        <v>9</v>
      </c>
      <c r="K7" s="64"/>
      <c r="R7" s="103"/>
    </row>
    <row r="8" spans="1:21" ht="20" customHeight="1" thickBot="1">
      <c r="A8" s="216"/>
      <c r="B8" s="122" t="s">
        <v>47</v>
      </c>
      <c r="C8" s="122" t="s">
        <v>169</v>
      </c>
      <c r="D8" s="124">
        <v>7</v>
      </c>
      <c r="E8" s="119" t="s">
        <v>142</v>
      </c>
      <c r="F8" s="131" t="s">
        <v>92</v>
      </c>
      <c r="G8" s="131">
        <v>2</v>
      </c>
      <c r="H8" s="100">
        <v>5</v>
      </c>
      <c r="I8" s="100">
        <v>4</v>
      </c>
      <c r="J8" s="100">
        <v>9</v>
      </c>
      <c r="K8" s="64"/>
      <c r="R8" s="103"/>
    </row>
    <row r="9" spans="1:21" ht="20" customHeight="1" thickBot="1">
      <c r="A9" s="216"/>
      <c r="B9" s="122" t="s">
        <v>48</v>
      </c>
      <c r="C9" s="122" t="s">
        <v>170</v>
      </c>
      <c r="D9" s="124">
        <v>8</v>
      </c>
      <c r="E9" s="119" t="s">
        <v>143</v>
      </c>
      <c r="F9" s="131" t="s">
        <v>93</v>
      </c>
      <c r="G9" s="131">
        <v>3</v>
      </c>
      <c r="H9" s="100">
        <v>2</v>
      </c>
      <c r="I9" s="100">
        <v>3</v>
      </c>
      <c r="J9" s="100">
        <v>5</v>
      </c>
      <c r="K9" s="64"/>
      <c r="R9" s="103"/>
    </row>
    <row r="10" spans="1:21" ht="20" customHeight="1" thickBot="1">
      <c r="A10" s="216"/>
      <c r="B10" s="122" t="s">
        <v>49</v>
      </c>
      <c r="C10" s="122" t="s">
        <v>171</v>
      </c>
      <c r="D10" s="124">
        <v>9</v>
      </c>
      <c r="E10" s="119" t="s">
        <v>144</v>
      </c>
      <c r="F10" s="131" t="s">
        <v>92</v>
      </c>
      <c r="G10" s="131">
        <v>1</v>
      </c>
      <c r="H10" s="100">
        <v>5</v>
      </c>
      <c r="I10" s="100">
        <v>5</v>
      </c>
      <c r="J10" s="100">
        <v>10</v>
      </c>
      <c r="K10" s="64"/>
      <c r="R10" s="103"/>
    </row>
    <row r="11" spans="1:21" ht="20" customHeight="1" thickBot="1">
      <c r="A11" s="216"/>
      <c r="B11" s="122" t="s">
        <v>50</v>
      </c>
      <c r="C11" s="122" t="s">
        <v>172</v>
      </c>
      <c r="D11" s="124">
        <v>10</v>
      </c>
      <c r="E11" s="119" t="s">
        <v>145</v>
      </c>
      <c r="F11" s="131" t="s">
        <v>93</v>
      </c>
      <c r="G11" s="131">
        <v>2</v>
      </c>
      <c r="H11" s="100">
        <v>2</v>
      </c>
      <c r="I11" s="100">
        <v>4</v>
      </c>
      <c r="J11" s="100">
        <v>6</v>
      </c>
      <c r="K11" s="64"/>
      <c r="R11" s="103"/>
    </row>
    <row r="12" spans="1:21" ht="20" customHeight="1" thickBot="1">
      <c r="A12" s="216"/>
      <c r="B12" s="122" t="s">
        <v>192</v>
      </c>
      <c r="C12" s="122" t="s">
        <v>173</v>
      </c>
      <c r="D12" s="124">
        <v>11</v>
      </c>
      <c r="E12" s="119" t="s">
        <v>146</v>
      </c>
      <c r="F12" s="131" t="s">
        <v>93</v>
      </c>
      <c r="G12" s="131">
        <v>3</v>
      </c>
      <c r="H12" s="100">
        <v>2</v>
      </c>
      <c r="I12" s="100">
        <v>3</v>
      </c>
      <c r="J12" s="100">
        <v>5</v>
      </c>
      <c r="K12" s="64"/>
      <c r="R12" s="103"/>
    </row>
    <row r="13" spans="1:21" ht="20" customHeight="1" thickBot="1">
      <c r="A13" s="216"/>
      <c r="B13" s="122" t="s">
        <v>193</v>
      </c>
      <c r="C13" s="122" t="s">
        <v>174</v>
      </c>
      <c r="D13" s="124">
        <v>12</v>
      </c>
      <c r="E13" s="119" t="s">
        <v>147</v>
      </c>
      <c r="F13" s="131" t="s">
        <v>93</v>
      </c>
      <c r="G13" s="131">
        <v>3</v>
      </c>
      <c r="H13" s="100">
        <v>2</v>
      </c>
      <c r="I13" s="100">
        <v>3</v>
      </c>
      <c r="J13" s="100">
        <v>5</v>
      </c>
      <c r="K13" s="64"/>
      <c r="R13" s="103"/>
    </row>
    <row r="14" spans="1:21" ht="20" customHeight="1" thickBot="1">
      <c r="A14" s="216"/>
      <c r="B14" s="122" t="s">
        <v>194</v>
      </c>
      <c r="C14" s="122" t="s">
        <v>175</v>
      </c>
      <c r="D14" s="124">
        <v>13</v>
      </c>
      <c r="E14" s="119" t="s">
        <v>148</v>
      </c>
      <c r="F14" s="131" t="s">
        <v>93</v>
      </c>
      <c r="G14" s="131">
        <v>2</v>
      </c>
      <c r="H14" s="100">
        <v>2</v>
      </c>
      <c r="I14" s="100">
        <v>4</v>
      </c>
      <c r="J14" s="100">
        <v>6</v>
      </c>
      <c r="K14" s="64"/>
      <c r="R14" s="103"/>
    </row>
    <row r="15" spans="1:21" ht="20" customHeight="1" thickBot="1">
      <c r="A15" s="216"/>
      <c r="B15" s="122" t="s">
        <v>195</v>
      </c>
      <c r="C15" s="122" t="s">
        <v>176</v>
      </c>
      <c r="D15" s="124">
        <v>14</v>
      </c>
      <c r="E15" s="120" t="s">
        <v>149</v>
      </c>
      <c r="F15" s="131" t="s">
        <v>93</v>
      </c>
      <c r="G15" s="131">
        <v>2</v>
      </c>
      <c r="H15" s="100">
        <v>2</v>
      </c>
      <c r="I15" s="100">
        <v>4</v>
      </c>
      <c r="J15" s="100">
        <v>6</v>
      </c>
      <c r="K15" s="64"/>
      <c r="R15" s="103"/>
    </row>
    <row r="16" spans="1:21" ht="20" customHeight="1" thickBot="1">
      <c r="A16" s="216"/>
      <c r="B16" s="122" t="s">
        <v>196</v>
      </c>
      <c r="C16" s="122" t="s">
        <v>177</v>
      </c>
      <c r="D16" s="124">
        <v>15</v>
      </c>
      <c r="E16" s="120" t="s">
        <v>150</v>
      </c>
      <c r="F16" s="131" t="s">
        <v>93</v>
      </c>
      <c r="G16" s="131">
        <v>1</v>
      </c>
      <c r="H16" s="100">
        <v>2</v>
      </c>
      <c r="I16" s="100">
        <v>5</v>
      </c>
      <c r="J16" s="100">
        <v>7</v>
      </c>
      <c r="K16" s="64"/>
      <c r="P16" s="74"/>
      <c r="Q16" s="74"/>
    </row>
    <row r="17" spans="1:18" ht="20" customHeight="1" thickBot="1">
      <c r="A17" s="216"/>
      <c r="B17" s="122" t="s">
        <v>197</v>
      </c>
      <c r="C17" s="122" t="s">
        <v>178</v>
      </c>
      <c r="D17" s="124">
        <v>16</v>
      </c>
      <c r="E17" s="119" t="s">
        <v>151</v>
      </c>
      <c r="F17" s="131" t="s">
        <v>92</v>
      </c>
      <c r="G17" s="131">
        <v>1</v>
      </c>
      <c r="H17" s="100">
        <v>5</v>
      </c>
      <c r="I17" s="100">
        <v>5</v>
      </c>
      <c r="J17" s="100">
        <v>10</v>
      </c>
      <c r="K17" s="64"/>
      <c r="P17" s="73"/>
      <c r="Q17" s="74"/>
    </row>
    <row r="18" spans="1:18" ht="20" customHeight="1" thickBot="1">
      <c r="A18" s="217"/>
      <c r="B18" s="122" t="s">
        <v>198</v>
      </c>
      <c r="C18" s="122" t="s">
        <v>179</v>
      </c>
      <c r="D18" s="124">
        <v>17</v>
      </c>
      <c r="E18" s="129" t="s">
        <v>152</v>
      </c>
      <c r="F18" s="131" t="s">
        <v>92</v>
      </c>
      <c r="G18" s="131">
        <v>1</v>
      </c>
      <c r="H18" s="100">
        <v>5</v>
      </c>
      <c r="I18" s="100">
        <v>5</v>
      </c>
      <c r="J18" s="100">
        <v>10</v>
      </c>
      <c r="K18" s="64"/>
      <c r="P18" s="72"/>
      <c r="Q18" s="72"/>
      <c r="R18" s="92"/>
    </row>
    <row r="19" spans="1:18" ht="20" customHeight="1" thickBot="1">
      <c r="A19" s="218" t="s">
        <v>310</v>
      </c>
      <c r="B19" s="122" t="s">
        <v>199</v>
      </c>
      <c r="C19" s="122" t="s">
        <v>172</v>
      </c>
      <c r="D19" s="124">
        <v>18</v>
      </c>
      <c r="E19" s="118" t="s">
        <v>153</v>
      </c>
      <c r="F19" s="131" t="s">
        <v>92</v>
      </c>
      <c r="G19" s="131">
        <v>1</v>
      </c>
      <c r="H19" s="100">
        <v>5</v>
      </c>
      <c r="I19" s="100">
        <v>5</v>
      </c>
      <c r="J19" s="100">
        <v>10</v>
      </c>
      <c r="K19" s="64"/>
      <c r="P19" s="74"/>
      <c r="R19" s="103"/>
    </row>
    <row r="20" spans="1:18" ht="20" customHeight="1" thickBot="1">
      <c r="A20" s="219"/>
      <c r="B20" s="122" t="s">
        <v>200</v>
      </c>
      <c r="C20" s="122" t="s">
        <v>180</v>
      </c>
      <c r="D20" s="124">
        <v>19</v>
      </c>
      <c r="E20" s="119" t="s">
        <v>154</v>
      </c>
      <c r="F20" s="131" t="s">
        <v>92</v>
      </c>
      <c r="G20" s="131">
        <v>1</v>
      </c>
      <c r="H20" s="100">
        <v>5</v>
      </c>
      <c r="I20" s="100">
        <v>5</v>
      </c>
      <c r="J20" s="100">
        <v>10</v>
      </c>
      <c r="K20" s="64"/>
      <c r="P20" s="74"/>
      <c r="R20" s="103"/>
    </row>
    <row r="21" spans="1:18" ht="20" customHeight="1" thickBot="1">
      <c r="A21" s="219"/>
      <c r="B21" s="122" t="s">
        <v>201</v>
      </c>
      <c r="C21" s="122" t="s">
        <v>181</v>
      </c>
      <c r="D21" s="124">
        <v>20</v>
      </c>
      <c r="E21" s="119" t="s">
        <v>161</v>
      </c>
      <c r="F21" s="131" t="s">
        <v>93</v>
      </c>
      <c r="G21" s="131">
        <v>2</v>
      </c>
      <c r="H21" s="100">
        <v>2</v>
      </c>
      <c r="I21" s="100">
        <v>4</v>
      </c>
      <c r="J21" s="100">
        <v>6</v>
      </c>
      <c r="K21" s="64"/>
      <c r="P21" s="74"/>
      <c r="R21" s="103"/>
    </row>
    <row r="22" spans="1:18" ht="20" customHeight="1" thickBot="1">
      <c r="A22" s="219"/>
      <c r="B22" s="122" t="s">
        <v>202</v>
      </c>
      <c r="C22" s="122" t="s">
        <v>182</v>
      </c>
      <c r="D22" s="124">
        <v>21</v>
      </c>
      <c r="E22" s="119" t="s">
        <v>155</v>
      </c>
      <c r="F22" s="131" t="s">
        <v>93</v>
      </c>
      <c r="G22" s="131">
        <v>2</v>
      </c>
      <c r="H22" s="100">
        <v>2</v>
      </c>
      <c r="I22" s="100">
        <v>4</v>
      </c>
      <c r="J22" s="100">
        <v>6</v>
      </c>
      <c r="K22" s="64"/>
      <c r="Q22" s="74"/>
    </row>
    <row r="23" spans="1:18" ht="20" customHeight="1" thickBot="1">
      <c r="A23" s="219"/>
      <c r="B23" s="122" t="s">
        <v>203</v>
      </c>
      <c r="C23" s="122" t="s">
        <v>177</v>
      </c>
      <c r="D23" s="124">
        <v>22</v>
      </c>
      <c r="E23" s="119" t="s">
        <v>156</v>
      </c>
      <c r="F23" s="131" t="s">
        <v>93</v>
      </c>
      <c r="G23" s="131">
        <v>2</v>
      </c>
      <c r="H23" s="100">
        <v>2</v>
      </c>
      <c r="I23" s="100">
        <v>4</v>
      </c>
      <c r="J23" s="100">
        <v>6</v>
      </c>
      <c r="K23" s="64"/>
      <c r="P23" s="229"/>
      <c r="Q23" s="229"/>
      <c r="R23" s="229"/>
    </row>
    <row r="24" spans="1:18" ht="20" customHeight="1" thickBot="1">
      <c r="A24" s="219"/>
      <c r="B24" s="122" t="s">
        <v>204</v>
      </c>
      <c r="C24" s="122" t="s">
        <v>178</v>
      </c>
      <c r="D24" s="124">
        <v>23</v>
      </c>
      <c r="E24" s="119" t="s">
        <v>162</v>
      </c>
      <c r="F24" s="131" t="s">
        <v>93</v>
      </c>
      <c r="G24" s="131">
        <v>2</v>
      </c>
      <c r="H24" s="100">
        <v>2</v>
      </c>
      <c r="I24" s="100">
        <v>4</v>
      </c>
      <c r="J24" s="100">
        <v>6</v>
      </c>
      <c r="K24" s="64"/>
      <c r="P24" s="72"/>
      <c r="Q24" s="72"/>
      <c r="R24" s="92"/>
    </row>
    <row r="25" spans="1:18" ht="20" customHeight="1" thickBot="1">
      <c r="A25" s="219"/>
      <c r="B25" s="122" t="s">
        <v>205</v>
      </c>
      <c r="C25" s="122" t="s">
        <v>183</v>
      </c>
      <c r="D25" s="124">
        <v>24</v>
      </c>
      <c r="E25" s="119" t="s">
        <v>163</v>
      </c>
      <c r="F25" s="131" t="s">
        <v>93</v>
      </c>
      <c r="G25" s="131">
        <v>2</v>
      </c>
      <c r="H25" s="100">
        <v>2</v>
      </c>
      <c r="I25" s="100">
        <v>4</v>
      </c>
      <c r="J25" s="100">
        <v>6</v>
      </c>
      <c r="K25" s="64"/>
      <c r="P25" s="74"/>
      <c r="Q25" s="74"/>
      <c r="R25" s="103"/>
    </row>
    <row r="26" spans="1:18" ht="20" customHeight="1" thickBot="1">
      <c r="A26" s="222" t="s">
        <v>309</v>
      </c>
      <c r="B26" s="122" t="s">
        <v>206</v>
      </c>
      <c r="C26" s="122" t="s">
        <v>184</v>
      </c>
      <c r="D26" s="124">
        <v>25</v>
      </c>
      <c r="E26" s="119" t="s">
        <v>157</v>
      </c>
      <c r="F26" s="131" t="s">
        <v>93</v>
      </c>
      <c r="G26" s="131">
        <v>2</v>
      </c>
      <c r="H26" s="100">
        <v>2</v>
      </c>
      <c r="I26" s="100">
        <v>4</v>
      </c>
      <c r="J26" s="100">
        <v>6</v>
      </c>
      <c r="K26" s="64"/>
      <c r="P26" s="74"/>
      <c r="Q26" s="74"/>
    </row>
    <row r="27" spans="1:18" ht="20" customHeight="1" thickBot="1">
      <c r="A27" s="222"/>
      <c r="B27" s="122" t="s">
        <v>207</v>
      </c>
      <c r="C27" s="122" t="s">
        <v>185</v>
      </c>
      <c r="D27" s="124">
        <v>26</v>
      </c>
      <c r="E27" s="119" t="s">
        <v>158</v>
      </c>
      <c r="F27" s="131" t="s">
        <v>93</v>
      </c>
      <c r="G27" s="131">
        <v>2</v>
      </c>
      <c r="H27" s="100">
        <v>2</v>
      </c>
      <c r="I27" s="100">
        <v>4</v>
      </c>
      <c r="J27" s="100">
        <v>6</v>
      </c>
      <c r="K27" s="64"/>
      <c r="P27" s="74"/>
      <c r="Q27" s="74"/>
    </row>
    <row r="28" spans="1:18" ht="20" customHeight="1" thickBot="1">
      <c r="A28" s="223"/>
      <c r="B28" s="123" t="s">
        <v>208</v>
      </c>
      <c r="C28" s="123" t="s">
        <v>186</v>
      </c>
      <c r="D28" s="124">
        <v>27</v>
      </c>
      <c r="E28" s="129" t="s">
        <v>159</v>
      </c>
      <c r="F28" s="131" t="s">
        <v>92</v>
      </c>
      <c r="G28" s="131">
        <v>1</v>
      </c>
      <c r="H28" s="100">
        <v>5</v>
      </c>
      <c r="I28" s="100">
        <v>5</v>
      </c>
      <c r="J28" s="100">
        <v>10</v>
      </c>
      <c r="K28" s="64"/>
      <c r="P28" s="74"/>
      <c r="Q28" s="74"/>
    </row>
    <row r="29" spans="1:18" ht="15" thickBot="1">
      <c r="A29" s="89"/>
      <c r="B29" s="59"/>
      <c r="C29" s="90" t="s">
        <v>114</v>
      </c>
      <c r="D29" s="91"/>
      <c r="E29" s="184" t="s">
        <v>108</v>
      </c>
      <c r="F29" s="185" t="s">
        <v>109</v>
      </c>
      <c r="G29" s="78"/>
      <c r="H29" s="79"/>
      <c r="I29" s="79"/>
      <c r="J29" s="80"/>
      <c r="K29" s="64"/>
    </row>
    <row r="30" spans="1:18">
      <c r="A30" s="89"/>
      <c r="B30" s="59"/>
      <c r="C30" s="90" t="s">
        <v>113</v>
      </c>
      <c r="D30" s="87" t="s">
        <v>41</v>
      </c>
      <c r="E30" s="81">
        <f>ROW(B2)</f>
        <v>2</v>
      </c>
      <c r="F30" s="81">
        <v>2</v>
      </c>
      <c r="G30" s="82"/>
      <c r="H30" s="82"/>
      <c r="I30" s="82"/>
      <c r="J30" s="83">
        <f>SUM(J2:J2)</f>
        <v>10</v>
      </c>
      <c r="K30" s="65"/>
    </row>
    <row r="31" spans="1:18">
      <c r="A31" s="89"/>
      <c r="B31" s="59"/>
      <c r="C31" s="90" t="s">
        <v>113</v>
      </c>
      <c r="D31" s="88" t="s">
        <v>42</v>
      </c>
      <c r="E31" s="84">
        <f>F30+1</f>
        <v>3</v>
      </c>
      <c r="F31" s="84">
        <f>ROW(B4)-1</f>
        <v>3</v>
      </c>
      <c r="G31" s="84"/>
      <c r="H31" s="84"/>
      <c r="I31" s="84"/>
      <c r="J31" s="85">
        <f t="shared" ref="J31:J34" si="0">SUM(J3:J3)</f>
        <v>10</v>
      </c>
    </row>
    <row r="32" spans="1:18">
      <c r="A32" s="89"/>
      <c r="B32" s="59"/>
      <c r="C32" s="90" t="s">
        <v>113</v>
      </c>
      <c r="D32" s="88" t="s">
        <v>43</v>
      </c>
      <c r="E32" s="84">
        <f t="shared" ref="E32:E34" si="1">F31+1</f>
        <v>4</v>
      </c>
      <c r="F32" s="84">
        <f>ROW(B5)-1</f>
        <v>4</v>
      </c>
      <c r="G32" s="84"/>
      <c r="H32" s="84"/>
      <c r="I32" s="84"/>
      <c r="J32" s="85">
        <f t="shared" si="0"/>
        <v>6</v>
      </c>
    </row>
    <row r="33" spans="1:10">
      <c r="A33" s="89"/>
      <c r="B33" s="117"/>
      <c r="C33" s="90" t="s">
        <v>113</v>
      </c>
      <c r="D33" s="88" t="s">
        <v>44</v>
      </c>
      <c r="E33" s="84">
        <f t="shared" si="1"/>
        <v>5</v>
      </c>
      <c r="F33" s="84">
        <f t="shared" ref="F33:F34" si="2">ROW(B6)-1</f>
        <v>5</v>
      </c>
      <c r="G33" s="84"/>
      <c r="H33" s="84"/>
      <c r="I33" s="84"/>
      <c r="J33" s="85">
        <f t="shared" si="0"/>
        <v>10</v>
      </c>
    </row>
    <row r="34" spans="1:10" ht="15" thickBot="1">
      <c r="A34" s="89"/>
      <c r="B34" s="59"/>
      <c r="C34" s="90" t="s">
        <v>113</v>
      </c>
      <c r="D34" s="132" t="s">
        <v>45</v>
      </c>
      <c r="E34" s="133">
        <f t="shared" si="1"/>
        <v>6</v>
      </c>
      <c r="F34" s="133">
        <f t="shared" si="2"/>
        <v>6</v>
      </c>
      <c r="G34" s="133"/>
      <c r="H34" s="133"/>
      <c r="I34" s="133"/>
      <c r="J34" s="134">
        <f t="shared" si="0"/>
        <v>10</v>
      </c>
    </row>
    <row r="35" spans="1:10">
      <c r="A35" s="89"/>
      <c r="B35" s="59"/>
      <c r="C35" s="90" t="s">
        <v>113</v>
      </c>
      <c r="D35" s="135" t="s">
        <v>46</v>
      </c>
      <c r="E35" s="86">
        <f>F34+1</f>
        <v>7</v>
      </c>
      <c r="F35" s="86">
        <f>ROW(B8)-1</f>
        <v>7</v>
      </c>
      <c r="G35" s="86"/>
      <c r="H35" s="86"/>
      <c r="I35" s="86"/>
      <c r="J35" s="136">
        <f>SUM(J7:J7)</f>
        <v>9</v>
      </c>
    </row>
    <row r="36" spans="1:10">
      <c r="A36" s="89"/>
      <c r="B36" s="117"/>
      <c r="C36" s="90" t="s">
        <v>113</v>
      </c>
      <c r="D36" s="135" t="s">
        <v>47</v>
      </c>
      <c r="E36" s="86">
        <f t="shared" ref="E36:E46" si="3">F35+1</f>
        <v>8</v>
      </c>
      <c r="F36" s="86">
        <f>ROW(B9)-1</f>
        <v>8</v>
      </c>
      <c r="G36" s="86"/>
      <c r="H36" s="86"/>
      <c r="I36" s="86"/>
      <c r="J36" s="136">
        <f t="shared" ref="J36:J46" si="4">SUM(J8:J8)</f>
        <v>9</v>
      </c>
    </row>
    <row r="37" spans="1:10">
      <c r="A37" s="89"/>
      <c r="B37" s="117"/>
      <c r="C37" s="90" t="s">
        <v>113</v>
      </c>
      <c r="D37" s="135" t="s">
        <v>48</v>
      </c>
      <c r="E37" s="86">
        <f t="shared" si="3"/>
        <v>9</v>
      </c>
      <c r="F37" s="86">
        <f t="shared" ref="F37:F46" si="5">ROW(B10)-1</f>
        <v>9</v>
      </c>
      <c r="G37" s="86"/>
      <c r="H37" s="86"/>
      <c r="I37" s="86"/>
      <c r="J37" s="136">
        <f t="shared" si="4"/>
        <v>5</v>
      </c>
    </row>
    <row r="38" spans="1:10">
      <c r="A38" s="89"/>
      <c r="B38" s="117"/>
      <c r="C38" s="90" t="s">
        <v>113</v>
      </c>
      <c r="D38" s="135" t="s">
        <v>49</v>
      </c>
      <c r="E38" s="86">
        <f t="shared" si="3"/>
        <v>10</v>
      </c>
      <c r="F38" s="86">
        <f t="shared" si="5"/>
        <v>10</v>
      </c>
      <c r="G38" s="86"/>
      <c r="H38" s="86"/>
      <c r="I38" s="86"/>
      <c r="J38" s="136">
        <f t="shared" si="4"/>
        <v>10</v>
      </c>
    </row>
    <row r="39" spans="1:10">
      <c r="A39" s="89"/>
      <c r="B39" s="117"/>
      <c r="C39" s="90" t="s">
        <v>113</v>
      </c>
      <c r="D39" s="135" t="s">
        <v>50</v>
      </c>
      <c r="E39" s="86">
        <f t="shared" si="3"/>
        <v>11</v>
      </c>
      <c r="F39" s="86">
        <f t="shared" si="5"/>
        <v>11</v>
      </c>
      <c r="G39" s="86"/>
      <c r="H39" s="86"/>
      <c r="I39" s="86"/>
      <c r="J39" s="136">
        <f t="shared" si="4"/>
        <v>6</v>
      </c>
    </row>
    <row r="40" spans="1:10">
      <c r="A40" s="89"/>
      <c r="B40" s="117"/>
      <c r="C40" s="90" t="s">
        <v>113</v>
      </c>
      <c r="D40" s="135" t="s">
        <v>192</v>
      </c>
      <c r="E40" s="86">
        <f t="shared" si="3"/>
        <v>12</v>
      </c>
      <c r="F40" s="86">
        <f t="shared" si="5"/>
        <v>12</v>
      </c>
      <c r="G40" s="86"/>
      <c r="H40" s="86"/>
      <c r="I40" s="86"/>
      <c r="J40" s="136">
        <f t="shared" si="4"/>
        <v>5</v>
      </c>
    </row>
    <row r="41" spans="1:10">
      <c r="A41" s="89"/>
      <c r="B41" s="117"/>
      <c r="C41" s="90" t="s">
        <v>113</v>
      </c>
      <c r="D41" s="135" t="s">
        <v>193</v>
      </c>
      <c r="E41" s="86">
        <f t="shared" si="3"/>
        <v>13</v>
      </c>
      <c r="F41" s="86">
        <f t="shared" si="5"/>
        <v>13</v>
      </c>
      <c r="G41" s="86"/>
      <c r="H41" s="86"/>
      <c r="I41" s="86"/>
      <c r="J41" s="136">
        <f t="shared" si="4"/>
        <v>5</v>
      </c>
    </row>
    <row r="42" spans="1:10">
      <c r="A42" s="89"/>
      <c r="B42" s="117"/>
      <c r="C42" s="90" t="s">
        <v>113</v>
      </c>
      <c r="D42" s="135" t="s">
        <v>194</v>
      </c>
      <c r="E42" s="86">
        <f t="shared" si="3"/>
        <v>14</v>
      </c>
      <c r="F42" s="86">
        <f t="shared" si="5"/>
        <v>14</v>
      </c>
      <c r="G42" s="86"/>
      <c r="H42" s="86"/>
      <c r="I42" s="86"/>
      <c r="J42" s="136">
        <f t="shared" si="4"/>
        <v>6</v>
      </c>
    </row>
    <row r="43" spans="1:10">
      <c r="A43" s="89"/>
      <c r="B43" s="117"/>
      <c r="C43" s="90" t="s">
        <v>113</v>
      </c>
      <c r="D43" s="135" t="s">
        <v>195</v>
      </c>
      <c r="E43" s="86">
        <f t="shared" si="3"/>
        <v>15</v>
      </c>
      <c r="F43" s="86">
        <f t="shared" si="5"/>
        <v>15</v>
      </c>
      <c r="G43" s="86"/>
      <c r="H43" s="86"/>
      <c r="I43" s="86"/>
      <c r="J43" s="136">
        <f t="shared" si="4"/>
        <v>6</v>
      </c>
    </row>
    <row r="44" spans="1:10">
      <c r="A44" s="89"/>
      <c r="B44" s="117"/>
      <c r="C44" s="90" t="s">
        <v>113</v>
      </c>
      <c r="D44" s="135" t="s">
        <v>196</v>
      </c>
      <c r="E44" s="86">
        <f t="shared" si="3"/>
        <v>16</v>
      </c>
      <c r="F44" s="86">
        <f t="shared" si="5"/>
        <v>16</v>
      </c>
      <c r="G44" s="86"/>
      <c r="H44" s="86"/>
      <c r="I44" s="86"/>
      <c r="J44" s="136">
        <f t="shared" si="4"/>
        <v>7</v>
      </c>
    </row>
    <row r="45" spans="1:10">
      <c r="A45" s="89"/>
      <c r="B45" s="117"/>
      <c r="C45" s="90" t="s">
        <v>113</v>
      </c>
      <c r="D45" s="135" t="s">
        <v>197</v>
      </c>
      <c r="E45" s="86">
        <f t="shared" si="3"/>
        <v>17</v>
      </c>
      <c r="F45" s="86">
        <f t="shared" si="5"/>
        <v>17</v>
      </c>
      <c r="G45" s="86"/>
      <c r="H45" s="86"/>
      <c r="I45" s="86"/>
      <c r="J45" s="136">
        <f t="shared" si="4"/>
        <v>10</v>
      </c>
    </row>
    <row r="46" spans="1:10" ht="15" thickBot="1">
      <c r="A46" s="89"/>
      <c r="B46" s="59"/>
      <c r="C46" s="90" t="s">
        <v>113</v>
      </c>
      <c r="D46" s="135" t="s">
        <v>198</v>
      </c>
      <c r="E46" s="86">
        <f t="shared" si="3"/>
        <v>18</v>
      </c>
      <c r="F46" s="86">
        <f t="shared" si="5"/>
        <v>18</v>
      </c>
      <c r="G46" s="86"/>
      <c r="H46" s="86"/>
      <c r="I46" s="86"/>
      <c r="J46" s="136">
        <f t="shared" si="4"/>
        <v>10</v>
      </c>
    </row>
    <row r="47" spans="1:10">
      <c r="A47" s="89"/>
      <c r="B47" s="59"/>
      <c r="C47" s="90" t="s">
        <v>113</v>
      </c>
      <c r="D47" s="156" t="s">
        <v>199</v>
      </c>
      <c r="E47" s="157">
        <f t="shared" ref="E47:E56" si="6">F46+1</f>
        <v>19</v>
      </c>
      <c r="F47" s="157">
        <f>ROW(F20)-1</f>
        <v>19</v>
      </c>
      <c r="G47" s="157"/>
      <c r="H47" s="157"/>
      <c r="I47" s="157"/>
      <c r="J47" s="158">
        <f>SUM(J19:J19)</f>
        <v>10</v>
      </c>
    </row>
    <row r="48" spans="1:10">
      <c r="A48" s="89"/>
      <c r="B48" s="117"/>
      <c r="C48" s="90" t="s">
        <v>113</v>
      </c>
      <c r="D48" s="147" t="s">
        <v>200</v>
      </c>
      <c r="E48" s="148">
        <f t="shared" si="6"/>
        <v>20</v>
      </c>
      <c r="F48" s="148">
        <f t="shared" ref="F48:F56" si="7">ROW(F21)-1</f>
        <v>20</v>
      </c>
      <c r="G48" s="148"/>
      <c r="H48" s="148"/>
      <c r="I48" s="148"/>
      <c r="J48" s="149">
        <f t="shared" ref="J48:J56" si="8">SUM(J20:J20)</f>
        <v>10</v>
      </c>
    </row>
    <row r="49" spans="1:10">
      <c r="A49" s="89"/>
      <c r="B49" s="117"/>
      <c r="C49" s="90" t="s">
        <v>113</v>
      </c>
      <c r="D49" s="147" t="s">
        <v>201</v>
      </c>
      <c r="E49" s="148">
        <f t="shared" si="6"/>
        <v>21</v>
      </c>
      <c r="F49" s="148">
        <f t="shared" si="7"/>
        <v>21</v>
      </c>
      <c r="G49" s="148"/>
      <c r="H49" s="148"/>
      <c r="I49" s="148"/>
      <c r="J49" s="149">
        <f t="shared" si="8"/>
        <v>6</v>
      </c>
    </row>
    <row r="50" spans="1:10">
      <c r="A50" s="89"/>
      <c r="B50" s="117"/>
      <c r="C50" s="90" t="s">
        <v>113</v>
      </c>
      <c r="D50" s="147" t="s">
        <v>202</v>
      </c>
      <c r="E50" s="148">
        <f t="shared" si="6"/>
        <v>22</v>
      </c>
      <c r="F50" s="148">
        <f t="shared" si="7"/>
        <v>22</v>
      </c>
      <c r="G50" s="148"/>
      <c r="H50" s="148"/>
      <c r="I50" s="148"/>
      <c r="J50" s="149">
        <f t="shared" si="8"/>
        <v>6</v>
      </c>
    </row>
    <row r="51" spans="1:10">
      <c r="A51" s="89"/>
      <c r="B51" s="117"/>
      <c r="C51" s="90" t="s">
        <v>113</v>
      </c>
      <c r="D51" s="147" t="s">
        <v>203</v>
      </c>
      <c r="E51" s="148">
        <f t="shared" si="6"/>
        <v>23</v>
      </c>
      <c r="F51" s="148">
        <f t="shared" si="7"/>
        <v>23</v>
      </c>
      <c r="G51" s="148"/>
      <c r="H51" s="148"/>
      <c r="I51" s="148"/>
      <c r="J51" s="149">
        <f t="shared" si="8"/>
        <v>6</v>
      </c>
    </row>
    <row r="52" spans="1:10">
      <c r="A52" s="89"/>
      <c r="B52" s="117"/>
      <c r="C52" s="90" t="s">
        <v>113</v>
      </c>
      <c r="D52" s="147" t="s">
        <v>204</v>
      </c>
      <c r="E52" s="148">
        <f t="shared" si="6"/>
        <v>24</v>
      </c>
      <c r="F52" s="148">
        <f t="shared" si="7"/>
        <v>24</v>
      </c>
      <c r="G52" s="148"/>
      <c r="H52" s="148"/>
      <c r="I52" s="148"/>
      <c r="J52" s="149">
        <f t="shared" si="8"/>
        <v>6</v>
      </c>
    </row>
    <row r="53" spans="1:10" ht="15" thickBot="1">
      <c r="A53" s="89"/>
      <c r="B53" s="117"/>
      <c r="C53" s="90" t="s">
        <v>113</v>
      </c>
      <c r="D53" s="147" t="s">
        <v>205</v>
      </c>
      <c r="E53" s="148">
        <f t="shared" si="6"/>
        <v>25</v>
      </c>
      <c r="F53" s="148">
        <f t="shared" si="7"/>
        <v>25</v>
      </c>
      <c r="G53" s="148"/>
      <c r="H53" s="148"/>
      <c r="I53" s="148"/>
      <c r="J53" s="149">
        <f t="shared" si="8"/>
        <v>6</v>
      </c>
    </row>
    <row r="54" spans="1:10">
      <c r="A54" s="89"/>
      <c r="B54" s="117"/>
      <c r="C54" s="90" t="s">
        <v>113</v>
      </c>
      <c r="D54" s="150" t="s">
        <v>206</v>
      </c>
      <c r="E54" s="151">
        <f t="shared" si="6"/>
        <v>26</v>
      </c>
      <c r="F54" s="151">
        <f t="shared" si="7"/>
        <v>26</v>
      </c>
      <c r="G54" s="151"/>
      <c r="H54" s="151"/>
      <c r="I54" s="151"/>
      <c r="J54" s="152">
        <f t="shared" si="8"/>
        <v>6</v>
      </c>
    </row>
    <row r="55" spans="1:10">
      <c r="A55" s="89"/>
      <c r="B55" s="117"/>
      <c r="C55" s="90" t="s">
        <v>113</v>
      </c>
      <c r="D55" s="153" t="s">
        <v>207</v>
      </c>
      <c r="E55" s="154">
        <f t="shared" si="6"/>
        <v>27</v>
      </c>
      <c r="F55" s="154">
        <f t="shared" si="7"/>
        <v>27</v>
      </c>
      <c r="G55" s="154"/>
      <c r="H55" s="154"/>
      <c r="I55" s="154"/>
      <c r="J55" s="155">
        <f t="shared" si="8"/>
        <v>6</v>
      </c>
    </row>
    <row r="56" spans="1:10" ht="15" thickBot="1">
      <c r="A56" s="89"/>
      <c r="B56" s="59"/>
      <c r="C56" s="90" t="s">
        <v>113</v>
      </c>
      <c r="D56" s="159" t="s">
        <v>208</v>
      </c>
      <c r="E56" s="160">
        <f t="shared" si="6"/>
        <v>28</v>
      </c>
      <c r="F56" s="160">
        <f t="shared" si="7"/>
        <v>28</v>
      </c>
      <c r="G56" s="160"/>
      <c r="H56" s="160"/>
      <c r="I56" s="160"/>
      <c r="J56" s="161">
        <f t="shared" si="8"/>
        <v>10</v>
      </c>
    </row>
    <row r="57" spans="1:10">
      <c r="A57" s="89"/>
      <c r="B57" s="59"/>
      <c r="C57" s="90"/>
      <c r="D57" s="164" t="s">
        <v>237</v>
      </c>
      <c r="E57" s="84">
        <f>ROW(J30)</f>
        <v>30</v>
      </c>
      <c r="F57" s="84">
        <f>ROW(J35)-1</f>
        <v>34</v>
      </c>
      <c r="G57" s="84"/>
      <c r="H57" s="84"/>
      <c r="I57" s="84"/>
      <c r="J57" s="165">
        <f>SUM(J30:J34)</f>
        <v>46</v>
      </c>
    </row>
    <row r="58" spans="1:10">
      <c r="A58" s="89"/>
      <c r="B58" s="59"/>
      <c r="C58" s="90"/>
      <c r="D58" s="166" t="s">
        <v>256</v>
      </c>
      <c r="E58" s="86">
        <f>F57+1</f>
        <v>35</v>
      </c>
      <c r="F58" s="86">
        <f>ROW(J47)-1</f>
        <v>46</v>
      </c>
      <c r="G58" s="86"/>
      <c r="H58" s="86"/>
      <c r="I58" s="86"/>
      <c r="J58" s="167">
        <f>SUM(J35:J46)</f>
        <v>88</v>
      </c>
    </row>
    <row r="59" spans="1:10">
      <c r="A59" s="89"/>
      <c r="B59" s="59"/>
      <c r="C59" s="90"/>
      <c r="D59" s="168" t="s">
        <v>269</v>
      </c>
      <c r="E59" s="148">
        <f>F58+1</f>
        <v>47</v>
      </c>
      <c r="F59" s="148">
        <f>ROW(J54)-1</f>
        <v>53</v>
      </c>
      <c r="G59" s="148"/>
      <c r="H59" s="148"/>
      <c r="I59" s="148"/>
      <c r="J59" s="169">
        <f>SUM(J47:J56)</f>
        <v>72</v>
      </c>
    </row>
    <row r="60" spans="1:10">
      <c r="A60" s="89"/>
      <c r="B60" s="117"/>
      <c r="C60" s="90"/>
      <c r="D60" s="162" t="s">
        <v>270</v>
      </c>
      <c r="E60" s="154">
        <f>F59+1</f>
        <v>54</v>
      </c>
      <c r="F60" s="154">
        <f>ROW(J57)-1</f>
        <v>56</v>
      </c>
      <c r="G60" s="154"/>
      <c r="H60" s="154"/>
      <c r="I60" s="154"/>
      <c r="J60" s="163">
        <f>SUM(J48:J57)</f>
        <v>108</v>
      </c>
    </row>
    <row r="61" spans="1:10">
      <c r="A61" s="89"/>
      <c r="B61" s="59"/>
      <c r="C61" s="90"/>
      <c r="D61" s="170" t="s">
        <v>209</v>
      </c>
      <c r="E61" s="171">
        <f>ROW(J57)</f>
        <v>57</v>
      </c>
      <c r="F61" s="171">
        <f>ROW(J60)</f>
        <v>60</v>
      </c>
      <c r="G61" s="171"/>
      <c r="H61" s="171"/>
      <c r="I61" s="171"/>
      <c r="J61" s="172">
        <f>SUM(J57:J59)</f>
        <v>206</v>
      </c>
    </row>
  </sheetData>
  <sheetProtection algorithmName="SHA-512" hashValue="rKuu6dZ8h25blGl8xYhy/UCaKmNx/mIOb5peJUbvOayiWDdDQEDVqTDTZ4BYDN7AWuEz3jVRFkBjpzvQ6++wCA==" saltValue="ekQaCnl70EvuseCYFH89Ow==" spinCount="100000" sheet="1" objects="1" scenarios="1" formatCells="0"/>
  <mergeCells count="6">
    <mergeCell ref="A26:A28"/>
    <mergeCell ref="A2:A6"/>
    <mergeCell ref="A7:A18"/>
    <mergeCell ref="A1:C1"/>
    <mergeCell ref="P23:R23"/>
    <mergeCell ref="A19:A2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heetViews>
  <sheetFormatPr defaultColWidth="9.26953125" defaultRowHeight="14.5"/>
  <cols>
    <col min="1" max="1" width="102.36328125" style="41" customWidth="1"/>
    <col min="2" max="16384" width="9.26953125" style="41"/>
  </cols>
  <sheetData>
    <row r="1" ht="409.5" customHeight="1"/>
  </sheetData>
  <sheetProtection algorithmName="SHA-512" hashValue="QOzlSDwqWVacXpKakUEbh3Yv2NAHQMWxftNNySmeiRbd6T7Idht46H4Crv5xHmxCRUQ9Nyav/ygM6Spktu6s9w==" saltValue="YgZ+rDUQGb+TafNIo6QFWA==" spinCount="100000" sheet="1" objects="1" scenarios="1" formatCells="0"/>
  <phoneticPr fontId="5" type="noConversion"/>
  <pageMargins left="0.7" right="0.7" top="0.75" bottom="0.75" header="0.3" footer="0.3"/>
  <drawing r:id="rId1"/>
  <legacyDrawing r:id="rId2"/>
  <controls>
    <mc:AlternateContent xmlns:mc="http://schemas.openxmlformats.org/markup-compatibility/2006">
      <mc:Choice Requires="x14">
        <control shapeId="6152" r:id="rId3" name="CommandButton2">
          <controlPr autoLine="0" autoPict="0" r:id="rId4">
            <anchor moveWithCells="1">
              <from>
                <xdr:col>0</xdr:col>
                <xdr:colOff>5778500</xdr:colOff>
                <xdr:row>0</xdr:row>
                <xdr:rowOff>2438400</xdr:rowOff>
              </from>
              <to>
                <xdr:col>0</xdr:col>
                <xdr:colOff>8267700</xdr:colOff>
                <xdr:row>0</xdr:row>
                <xdr:rowOff>3194050</xdr:rowOff>
              </to>
            </anchor>
          </controlPr>
        </control>
      </mc:Choice>
      <mc:Fallback>
        <control shapeId="6152" r:id="rId3" name="CommandButton2"/>
      </mc:Fallback>
    </mc:AlternateContent>
    <mc:AlternateContent xmlns:mc="http://schemas.openxmlformats.org/markup-compatibility/2006">
      <mc:Choice Requires="x14">
        <control shapeId="6151" r:id="rId5" name="CommandButton7">
          <controlPr autoLine="0" r:id="rId6">
            <anchor moveWithCells="1">
              <from>
                <xdr:col>1</xdr:col>
                <xdr:colOff>0</xdr:colOff>
                <xdr:row>0</xdr:row>
                <xdr:rowOff>1587500</xdr:rowOff>
              </from>
              <to>
                <xdr:col>4</xdr:col>
                <xdr:colOff>127000</xdr:colOff>
                <xdr:row>0</xdr:row>
                <xdr:rowOff>2076450</xdr:rowOff>
              </to>
            </anchor>
          </controlPr>
        </control>
      </mc:Choice>
      <mc:Fallback>
        <control shapeId="6151" r:id="rId5" name="CommandButton7"/>
      </mc:Fallback>
    </mc:AlternateContent>
    <mc:AlternateContent xmlns:mc="http://schemas.openxmlformats.org/markup-compatibility/2006">
      <mc:Choice Requires="x14">
        <control shapeId="6150" r:id="rId7" name="CommandButton6">
          <controlPr autoLine="0" r:id="rId8">
            <anchor moveWithCells="1">
              <from>
                <xdr:col>0</xdr:col>
                <xdr:colOff>2921000</xdr:colOff>
                <xdr:row>0</xdr:row>
                <xdr:rowOff>1568450</xdr:rowOff>
              </from>
              <to>
                <xdr:col>0</xdr:col>
                <xdr:colOff>4991100</xdr:colOff>
                <xdr:row>0</xdr:row>
                <xdr:rowOff>2057400</xdr:rowOff>
              </to>
            </anchor>
          </controlPr>
        </control>
      </mc:Choice>
      <mc:Fallback>
        <control shapeId="6150" r:id="rId7" name="CommandButton6"/>
      </mc:Fallback>
    </mc:AlternateContent>
    <mc:AlternateContent xmlns:mc="http://schemas.openxmlformats.org/markup-compatibility/2006">
      <mc:Choice Requires="x14">
        <control shapeId="6149" r:id="rId9" name="CommandButton5">
          <controlPr autoLine="0" r:id="rId10">
            <anchor moveWithCells="1">
              <from>
                <xdr:col>1</xdr:col>
                <xdr:colOff>0</xdr:colOff>
                <xdr:row>0</xdr:row>
                <xdr:rowOff>165100</xdr:rowOff>
              </from>
              <to>
                <xdr:col>4</xdr:col>
                <xdr:colOff>127000</xdr:colOff>
                <xdr:row>0</xdr:row>
                <xdr:rowOff>654050</xdr:rowOff>
              </to>
            </anchor>
          </controlPr>
        </control>
      </mc:Choice>
      <mc:Fallback>
        <control shapeId="6149" r:id="rId9" name="CommandButton5"/>
      </mc:Fallback>
    </mc:AlternateContent>
    <mc:AlternateContent xmlns:mc="http://schemas.openxmlformats.org/markup-compatibility/2006">
      <mc:Choice Requires="x14">
        <control shapeId="6148" r:id="rId11" name="CmdBtnDeletePaper">
          <controlPr autoLine="0" r:id="rId12">
            <anchor moveWithCells="1">
              <from>
                <xdr:col>0</xdr:col>
                <xdr:colOff>2914650</xdr:colOff>
                <xdr:row>0</xdr:row>
                <xdr:rowOff>171450</xdr:rowOff>
              </from>
              <to>
                <xdr:col>0</xdr:col>
                <xdr:colOff>4984750</xdr:colOff>
                <xdr:row>0</xdr:row>
                <xdr:rowOff>660400</xdr:rowOff>
              </to>
            </anchor>
          </controlPr>
        </control>
      </mc:Choice>
      <mc:Fallback>
        <control shapeId="6148" r:id="rId11" name="CmdBtnDeletePaper"/>
      </mc:Fallback>
    </mc:AlternateContent>
    <mc:AlternateContent xmlns:mc="http://schemas.openxmlformats.org/markup-compatibility/2006">
      <mc:Choice Requires="x14">
        <control shapeId="6147" r:id="rId13" name="CmdBtnSetDataValidation">
          <controlPr autoLine="0" autoPict="0" r:id="rId14">
            <anchor moveWithCells="1">
              <from>
                <xdr:col>0</xdr:col>
                <xdr:colOff>254000</xdr:colOff>
                <xdr:row>0</xdr:row>
                <xdr:rowOff>1562100</xdr:rowOff>
              </from>
              <to>
                <xdr:col>0</xdr:col>
                <xdr:colOff>2813050</xdr:colOff>
                <xdr:row>0</xdr:row>
                <xdr:rowOff>2152650</xdr:rowOff>
              </to>
            </anchor>
          </controlPr>
        </control>
      </mc:Choice>
      <mc:Fallback>
        <control shapeId="6147" r:id="rId13" name="CmdBtnSetDataValidation"/>
      </mc:Fallback>
    </mc:AlternateContent>
    <mc:AlternateContent xmlns:mc="http://schemas.openxmlformats.org/markup-compatibility/2006">
      <mc:Choice Requires="x14">
        <control shapeId="6146" r:id="rId15" name="CmdBtnInitialiseCheckListSystem">
          <controlPr autoLine="0" autoPict="0" r:id="rId16">
            <anchor moveWithCells="1">
              <from>
                <xdr:col>0</xdr:col>
                <xdr:colOff>254000</xdr:colOff>
                <xdr:row>0</xdr:row>
                <xdr:rowOff>1028700</xdr:rowOff>
              </from>
              <to>
                <xdr:col>0</xdr:col>
                <xdr:colOff>2832100</xdr:colOff>
                <xdr:row>0</xdr:row>
                <xdr:rowOff>1390650</xdr:rowOff>
              </to>
            </anchor>
          </controlPr>
        </control>
      </mc:Choice>
      <mc:Fallback>
        <control shapeId="6146" r:id="rId15" name="CmdBtnInitialiseCheckListSystem"/>
      </mc:Fallback>
    </mc:AlternateContent>
    <mc:AlternateContent xmlns:mc="http://schemas.openxmlformats.org/markup-compatibility/2006">
      <mc:Choice Requires="x14">
        <control shapeId="6145" r:id="rId17" name="CommandButton1">
          <controlPr autoLine="0" r:id="rId18">
            <anchor moveWithCells="1">
              <from>
                <xdr:col>0</xdr:col>
                <xdr:colOff>241300</xdr:colOff>
                <xdr:row>0</xdr:row>
                <xdr:rowOff>152400</xdr:rowOff>
              </from>
              <to>
                <xdr:col>0</xdr:col>
                <xdr:colOff>2393950</xdr:colOff>
                <xdr:row>0</xdr:row>
                <xdr:rowOff>704850</xdr:rowOff>
              </to>
            </anchor>
          </controlPr>
        </control>
      </mc:Choice>
      <mc:Fallback>
        <control shapeId="6145" r:id="rId17"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60"/>
  <sheetViews>
    <sheetView workbookViewId="0">
      <pane ySplit="1" topLeftCell="A45" activePane="bottomLeft" state="frozen"/>
      <selection sqref="A1:G1"/>
      <selection pane="bottomLeft" activeCell="B58" sqref="B58"/>
    </sheetView>
  </sheetViews>
  <sheetFormatPr defaultColWidth="9.26953125" defaultRowHeight="14.5"/>
  <cols>
    <col min="1" max="1" width="9.26953125" style="14"/>
    <col min="2" max="2" width="110.54296875" style="52" customWidth="1"/>
    <col min="3" max="3" width="14.1796875" style="14" customWidth="1"/>
    <col min="4" max="4" width="9.26953125" style="14"/>
    <col min="5" max="5" width="60.36328125" style="14" customWidth="1"/>
    <col min="6" max="6" width="22.81640625" style="14" customWidth="1"/>
    <col min="7" max="7" width="19.81640625" style="14" customWidth="1"/>
    <col min="8" max="8" width="25.36328125" style="14" customWidth="1"/>
    <col min="9" max="16384" width="9.26953125" style="14"/>
  </cols>
  <sheetData>
    <row r="1" spans="1:18" s="45" customFormat="1" ht="37.5" customHeight="1">
      <c r="A1" s="45" t="s">
        <v>4</v>
      </c>
      <c r="B1" s="46" t="s">
        <v>5</v>
      </c>
      <c r="C1" s="45" t="s">
        <v>6</v>
      </c>
    </row>
    <row r="2" spans="1:18" ht="15.5">
      <c r="A2" s="14">
        <v>1</v>
      </c>
      <c r="B2" s="47" t="s">
        <v>61</v>
      </c>
      <c r="C2" s="48" t="s">
        <v>57</v>
      </c>
      <c r="E2" s="49" t="s">
        <v>59</v>
      </c>
      <c r="F2" s="50"/>
      <c r="G2" s="49"/>
      <c r="H2" s="49"/>
      <c r="I2" s="49"/>
      <c r="J2" s="49"/>
      <c r="K2" s="49"/>
      <c r="L2" s="49"/>
      <c r="M2" s="49"/>
      <c r="N2" s="49"/>
    </row>
    <row r="3" spans="1:18" ht="15.5">
      <c r="A3" s="14">
        <v>2</v>
      </c>
      <c r="B3" s="47" t="s">
        <v>60</v>
      </c>
      <c r="C3" s="48" t="s">
        <v>57</v>
      </c>
      <c r="E3" s="49" t="s">
        <v>90</v>
      </c>
      <c r="F3" s="49"/>
      <c r="G3" s="49"/>
      <c r="H3" s="49"/>
      <c r="I3" s="49"/>
      <c r="J3" s="49"/>
      <c r="K3" s="49"/>
      <c r="L3" s="49"/>
      <c r="M3" s="49"/>
      <c r="N3" s="49"/>
    </row>
    <row r="4" spans="1:18" ht="15.5">
      <c r="A4" s="14">
        <v>3</v>
      </c>
      <c r="B4" s="47" t="s">
        <v>62</v>
      </c>
      <c r="C4" s="48"/>
      <c r="E4" s="49"/>
      <c r="F4" s="49"/>
      <c r="G4" s="49"/>
      <c r="H4" s="49"/>
      <c r="I4" s="49"/>
      <c r="J4" s="49"/>
      <c r="K4" s="49"/>
      <c r="L4" s="49"/>
      <c r="M4" s="49"/>
      <c r="N4" s="49"/>
    </row>
    <row r="5" spans="1:18" ht="15.5">
      <c r="A5" s="14">
        <v>4</v>
      </c>
      <c r="B5" s="47" t="s">
        <v>63</v>
      </c>
      <c r="C5" s="48" t="s">
        <v>57</v>
      </c>
      <c r="E5" s="49"/>
      <c r="F5" s="49"/>
      <c r="G5" s="49"/>
      <c r="H5" s="49"/>
      <c r="I5" s="49"/>
      <c r="J5" s="49"/>
      <c r="K5" s="49"/>
      <c r="L5" s="49"/>
      <c r="M5" s="49"/>
      <c r="N5" s="49"/>
    </row>
    <row r="6" spans="1:18" ht="15.5">
      <c r="A6" s="14">
        <v>5</v>
      </c>
      <c r="B6" s="47" t="s">
        <v>64</v>
      </c>
      <c r="C6" s="48" t="s">
        <v>57</v>
      </c>
      <c r="E6" s="51"/>
      <c r="F6" s="49"/>
      <c r="G6" s="49"/>
      <c r="H6" s="50"/>
      <c r="I6" s="49"/>
      <c r="J6" s="49"/>
      <c r="K6" s="49"/>
      <c r="L6" s="49"/>
      <c r="M6" s="49"/>
      <c r="N6" s="49"/>
      <c r="O6" s="49"/>
      <c r="P6" s="49"/>
      <c r="Q6" s="49"/>
      <c r="R6" s="49"/>
    </row>
    <row r="7" spans="1:18" ht="15.5">
      <c r="A7" s="14">
        <v>6</v>
      </c>
      <c r="B7" s="47" t="s">
        <v>65</v>
      </c>
      <c r="C7" s="48" t="s">
        <v>57</v>
      </c>
      <c r="E7" s="51"/>
      <c r="F7" s="49"/>
      <c r="G7" s="49"/>
      <c r="H7" s="50"/>
      <c r="I7" s="49"/>
      <c r="J7" s="49"/>
      <c r="K7" s="49"/>
      <c r="L7" s="49"/>
      <c r="M7" s="49"/>
      <c r="N7" s="49"/>
      <c r="O7" s="49"/>
      <c r="P7" s="49"/>
      <c r="Q7" s="49"/>
      <c r="R7" s="49"/>
    </row>
    <row r="8" spans="1:18" ht="15.5">
      <c r="A8" s="14">
        <v>7</v>
      </c>
      <c r="B8" s="47" t="s">
        <v>66</v>
      </c>
      <c r="C8" s="48" t="s">
        <v>57</v>
      </c>
      <c r="E8" s="51"/>
      <c r="F8" s="49"/>
      <c r="G8" s="49"/>
      <c r="H8" s="50"/>
      <c r="I8" s="49"/>
      <c r="J8" s="49"/>
      <c r="K8" s="49"/>
      <c r="L8" s="49"/>
      <c r="M8" s="49"/>
      <c r="N8" s="49"/>
      <c r="O8" s="49"/>
      <c r="P8" s="49"/>
      <c r="Q8" s="49"/>
      <c r="R8" s="49"/>
    </row>
    <row r="9" spans="1:18" ht="15.5">
      <c r="A9" s="14">
        <v>8</v>
      </c>
      <c r="B9" s="47" t="s">
        <v>67</v>
      </c>
      <c r="C9" s="48"/>
      <c r="E9" s="51"/>
      <c r="F9" s="49"/>
      <c r="G9" s="49"/>
      <c r="H9" s="50"/>
      <c r="I9" s="49"/>
      <c r="J9" s="49"/>
      <c r="K9" s="49"/>
      <c r="L9" s="49"/>
      <c r="M9" s="49"/>
      <c r="N9" s="49"/>
      <c r="O9" s="49"/>
      <c r="P9" s="49"/>
      <c r="Q9" s="49"/>
      <c r="R9" s="49"/>
    </row>
    <row r="10" spans="1:18" ht="15.5">
      <c r="A10" s="14">
        <v>9</v>
      </c>
      <c r="B10" s="47" t="s">
        <v>68</v>
      </c>
      <c r="C10" s="48" t="s">
        <v>57</v>
      </c>
      <c r="E10" s="51"/>
      <c r="F10" s="49"/>
      <c r="G10" s="49"/>
      <c r="H10" s="50"/>
      <c r="I10" s="49"/>
      <c r="J10" s="49"/>
      <c r="K10" s="49"/>
      <c r="L10" s="49"/>
      <c r="M10" s="49"/>
      <c r="N10" s="49"/>
      <c r="O10" s="49"/>
      <c r="P10" s="49"/>
      <c r="Q10" s="49"/>
      <c r="R10" s="49"/>
    </row>
    <row r="11" spans="1:18" ht="15.5">
      <c r="A11" s="14">
        <v>10</v>
      </c>
      <c r="B11" s="47" t="s">
        <v>69</v>
      </c>
      <c r="C11" s="48"/>
      <c r="E11" s="51"/>
      <c r="F11" s="49"/>
      <c r="G11" s="49"/>
      <c r="H11" s="50"/>
      <c r="I11" s="49"/>
      <c r="J11" s="49"/>
      <c r="K11" s="49"/>
      <c r="L11" s="49"/>
      <c r="M11" s="49"/>
      <c r="N11" s="49"/>
      <c r="O11" s="49"/>
      <c r="P11" s="49"/>
      <c r="Q11" s="49"/>
      <c r="R11" s="49"/>
    </row>
    <row r="12" spans="1:18" ht="15.5">
      <c r="A12" s="14">
        <v>11</v>
      </c>
      <c r="B12" s="47" t="s">
        <v>70</v>
      </c>
      <c r="C12" s="48"/>
      <c r="E12" s="51"/>
      <c r="F12" s="49"/>
      <c r="G12" s="49"/>
      <c r="H12" s="50"/>
      <c r="I12" s="49"/>
      <c r="J12" s="49"/>
      <c r="K12" s="49"/>
      <c r="L12" s="49"/>
      <c r="M12" s="49"/>
      <c r="N12" s="49"/>
      <c r="O12" s="49"/>
      <c r="P12" s="49"/>
      <c r="Q12" s="49"/>
      <c r="R12" s="49"/>
    </row>
    <row r="13" spans="1:18" ht="15.5">
      <c r="A13" s="14">
        <v>12</v>
      </c>
      <c r="B13" s="47" t="s">
        <v>71</v>
      </c>
      <c r="C13" s="48"/>
      <c r="E13" s="51"/>
      <c r="F13" s="49"/>
      <c r="G13" s="49"/>
      <c r="H13" s="50"/>
      <c r="I13" s="49"/>
      <c r="J13" s="49"/>
      <c r="K13" s="49"/>
      <c r="L13" s="49"/>
      <c r="M13" s="49"/>
      <c r="N13" s="49"/>
      <c r="O13" s="49"/>
      <c r="P13" s="49"/>
      <c r="Q13" s="49"/>
      <c r="R13" s="49"/>
    </row>
    <row r="14" spans="1:18" ht="15.5">
      <c r="A14" s="14">
        <v>13</v>
      </c>
      <c r="B14" s="47" t="s">
        <v>72</v>
      </c>
      <c r="C14" s="48"/>
      <c r="E14" s="51"/>
      <c r="F14" s="49"/>
      <c r="G14" s="49"/>
      <c r="H14" s="50"/>
      <c r="I14" s="49"/>
      <c r="J14" s="49"/>
      <c r="K14" s="49"/>
      <c r="L14" s="49"/>
      <c r="M14" s="49"/>
      <c r="N14" s="49"/>
      <c r="O14" s="49"/>
      <c r="P14" s="49"/>
      <c r="Q14" s="49"/>
      <c r="R14" s="49"/>
    </row>
    <row r="15" spans="1:18" ht="15.5">
      <c r="A15" s="14">
        <v>14</v>
      </c>
      <c r="B15" s="47" t="s">
        <v>73</v>
      </c>
      <c r="C15" s="48"/>
      <c r="E15" s="51"/>
      <c r="F15" s="49"/>
      <c r="G15" s="49"/>
      <c r="H15" s="50"/>
      <c r="I15" s="49"/>
      <c r="J15" s="49"/>
      <c r="K15" s="49"/>
      <c r="L15" s="49"/>
      <c r="M15" s="49"/>
      <c r="N15" s="49"/>
      <c r="O15" s="49"/>
      <c r="P15" s="49"/>
      <c r="Q15" s="49"/>
      <c r="R15" s="49"/>
    </row>
    <row r="16" spans="1:18" ht="15.5">
      <c r="A16" s="14">
        <v>15</v>
      </c>
      <c r="B16" s="47" t="s">
        <v>74</v>
      </c>
      <c r="C16" s="48"/>
      <c r="E16" s="51"/>
      <c r="F16" s="49"/>
      <c r="G16" s="49"/>
      <c r="H16" s="50"/>
      <c r="I16" s="49"/>
      <c r="J16" s="49"/>
      <c r="K16" s="49"/>
      <c r="L16" s="49"/>
      <c r="M16" s="49"/>
      <c r="N16" s="49"/>
      <c r="O16" s="49"/>
      <c r="P16" s="49"/>
      <c r="Q16" s="49"/>
      <c r="R16" s="49"/>
    </row>
    <row r="17" spans="1:18" ht="15.5">
      <c r="A17" s="14">
        <v>16</v>
      </c>
      <c r="B17" s="47" t="s">
        <v>75</v>
      </c>
      <c r="C17" s="48" t="s">
        <v>57</v>
      </c>
      <c r="E17" s="51"/>
      <c r="F17" s="49"/>
      <c r="G17" s="49"/>
      <c r="H17" s="50"/>
      <c r="I17" s="49"/>
      <c r="J17" s="49"/>
      <c r="K17" s="49"/>
      <c r="L17" s="49"/>
      <c r="M17" s="49"/>
      <c r="N17" s="49"/>
      <c r="O17" s="49"/>
      <c r="P17" s="49"/>
      <c r="Q17" s="49"/>
      <c r="R17" s="49"/>
    </row>
    <row r="18" spans="1:18" ht="15.5">
      <c r="A18" s="14">
        <v>17</v>
      </c>
      <c r="B18" s="47" t="s">
        <v>76</v>
      </c>
      <c r="C18" s="48" t="s">
        <v>57</v>
      </c>
      <c r="E18" s="51"/>
      <c r="F18" s="49"/>
      <c r="G18" s="49"/>
      <c r="H18" s="50"/>
      <c r="I18" s="49"/>
      <c r="J18" s="49"/>
      <c r="K18" s="49"/>
      <c r="L18" s="49"/>
      <c r="M18" s="49"/>
      <c r="N18" s="49"/>
      <c r="O18" s="49"/>
      <c r="P18" s="49"/>
      <c r="Q18" s="49"/>
      <c r="R18" s="49"/>
    </row>
    <row r="19" spans="1:18" ht="15.5">
      <c r="A19" s="14">
        <v>18</v>
      </c>
      <c r="B19" s="47" t="s">
        <v>77</v>
      </c>
      <c r="C19" s="48" t="s">
        <v>57</v>
      </c>
      <c r="E19" s="51"/>
      <c r="F19" s="49"/>
      <c r="G19" s="49"/>
      <c r="H19" s="50"/>
      <c r="I19" s="49"/>
      <c r="J19" s="49"/>
      <c r="K19" s="49"/>
      <c r="L19" s="49"/>
      <c r="M19" s="49"/>
      <c r="N19" s="49"/>
      <c r="O19" s="49"/>
      <c r="P19" s="49"/>
      <c r="Q19" s="49"/>
      <c r="R19" s="49"/>
    </row>
    <row r="20" spans="1:18" ht="15.5">
      <c r="A20" s="14">
        <v>19</v>
      </c>
      <c r="B20" s="47" t="s">
        <v>78</v>
      </c>
      <c r="C20" s="48" t="s">
        <v>57</v>
      </c>
      <c r="E20" s="51"/>
      <c r="F20" s="49"/>
      <c r="G20" s="49"/>
      <c r="H20" s="50"/>
      <c r="I20" s="49"/>
      <c r="J20" s="49"/>
      <c r="K20" s="49"/>
      <c r="L20" s="49"/>
      <c r="M20" s="49"/>
      <c r="N20" s="49"/>
      <c r="O20" s="49"/>
      <c r="P20" s="49"/>
      <c r="Q20" s="49"/>
      <c r="R20" s="49"/>
    </row>
    <row r="21" spans="1:18" ht="15.5">
      <c r="A21" s="14">
        <v>20</v>
      </c>
      <c r="B21" s="47" t="s">
        <v>210</v>
      </c>
      <c r="C21" s="48"/>
      <c r="E21" s="51"/>
      <c r="F21" s="49"/>
      <c r="G21" s="49"/>
      <c r="H21" s="50"/>
      <c r="I21" s="49"/>
      <c r="J21" s="49"/>
      <c r="K21" s="49"/>
      <c r="L21" s="49"/>
      <c r="M21" s="49"/>
      <c r="N21" s="49"/>
      <c r="O21" s="49"/>
      <c r="P21" s="49"/>
      <c r="Q21" s="49"/>
      <c r="R21" s="49"/>
    </row>
    <row r="22" spans="1:18" ht="15.5">
      <c r="A22" s="14">
        <v>21</v>
      </c>
      <c r="B22" s="47" t="s">
        <v>79</v>
      </c>
      <c r="C22" s="48"/>
      <c r="E22" s="51"/>
      <c r="F22" s="49"/>
      <c r="G22" s="49"/>
      <c r="H22" s="50"/>
      <c r="I22" s="49"/>
      <c r="J22" s="49"/>
      <c r="K22" s="49"/>
      <c r="L22" s="49"/>
      <c r="M22" s="49"/>
      <c r="N22" s="49"/>
      <c r="O22" s="49"/>
      <c r="P22" s="49"/>
      <c r="Q22" s="49"/>
      <c r="R22" s="49"/>
    </row>
    <row r="23" spans="1:18" ht="15.5">
      <c r="A23" s="14">
        <v>22</v>
      </c>
      <c r="B23" s="47" t="s">
        <v>80</v>
      </c>
      <c r="C23" s="48"/>
      <c r="E23" s="51"/>
      <c r="F23" s="49"/>
      <c r="G23" s="49"/>
      <c r="H23" s="50"/>
      <c r="I23" s="49"/>
      <c r="J23" s="49"/>
      <c r="K23" s="49"/>
      <c r="L23" s="49"/>
      <c r="M23" s="49"/>
      <c r="N23" s="49"/>
      <c r="O23" s="49"/>
      <c r="P23" s="49"/>
      <c r="Q23" s="49"/>
      <c r="R23" s="49"/>
    </row>
    <row r="24" spans="1:18" ht="15.5">
      <c r="A24" s="14">
        <v>23</v>
      </c>
      <c r="B24" s="47" t="s">
        <v>81</v>
      </c>
      <c r="C24" s="48"/>
      <c r="E24" s="51"/>
      <c r="F24" s="49"/>
      <c r="G24" s="49"/>
      <c r="H24" s="50"/>
      <c r="I24" s="49"/>
      <c r="J24" s="49"/>
      <c r="K24" s="49"/>
      <c r="L24" s="49"/>
      <c r="M24" s="49"/>
      <c r="N24" s="49"/>
      <c r="O24" s="49"/>
      <c r="P24" s="49"/>
      <c r="Q24" s="49"/>
      <c r="R24" s="49"/>
    </row>
    <row r="25" spans="1:18" ht="15.5">
      <c r="A25" s="14">
        <v>24</v>
      </c>
      <c r="B25" s="47" t="s">
        <v>82</v>
      </c>
      <c r="C25" s="48"/>
      <c r="E25" s="51"/>
      <c r="F25" s="49"/>
      <c r="G25" s="49"/>
      <c r="H25" s="50"/>
      <c r="I25" s="49"/>
      <c r="J25" s="49"/>
      <c r="K25" s="49"/>
      <c r="L25" s="49"/>
      <c r="M25" s="49"/>
      <c r="N25" s="49"/>
      <c r="O25" s="49"/>
      <c r="P25" s="49"/>
      <c r="Q25" s="49"/>
      <c r="R25" s="49"/>
    </row>
    <row r="26" spans="1:18" ht="15.5">
      <c r="A26" s="14">
        <v>25</v>
      </c>
      <c r="B26" s="47" t="s">
        <v>83</v>
      </c>
      <c r="C26" s="48"/>
      <c r="E26" s="51"/>
      <c r="F26" s="49"/>
      <c r="G26" s="49"/>
      <c r="H26" s="50"/>
      <c r="I26" s="49"/>
      <c r="J26" s="49"/>
      <c r="K26" s="49"/>
      <c r="L26" s="49"/>
      <c r="M26" s="49"/>
      <c r="N26" s="49"/>
      <c r="O26" s="49"/>
      <c r="P26" s="49"/>
      <c r="Q26" s="49"/>
      <c r="R26" s="49"/>
    </row>
    <row r="27" spans="1:18" ht="15.5">
      <c r="A27" s="14">
        <v>26</v>
      </c>
      <c r="B27" s="47" t="s">
        <v>84</v>
      </c>
      <c r="C27" s="48"/>
      <c r="E27" s="51"/>
      <c r="F27" s="49"/>
      <c r="G27" s="49"/>
      <c r="H27" s="50"/>
      <c r="I27" s="49"/>
      <c r="J27" s="49"/>
      <c r="K27" s="49"/>
      <c r="L27" s="49"/>
      <c r="M27" s="49"/>
      <c r="N27" s="49"/>
      <c r="O27" s="49"/>
      <c r="P27" s="49"/>
      <c r="Q27" s="49"/>
      <c r="R27" s="49"/>
    </row>
    <row r="28" spans="1:18" ht="15.5">
      <c r="A28" s="14">
        <v>27</v>
      </c>
      <c r="B28" s="47" t="s">
        <v>85</v>
      </c>
      <c r="C28" s="48" t="s">
        <v>57</v>
      </c>
      <c r="E28" s="51"/>
      <c r="F28" s="49"/>
      <c r="G28" s="49"/>
      <c r="H28" s="50"/>
      <c r="I28" s="49"/>
      <c r="J28" s="49"/>
      <c r="K28" s="49"/>
      <c r="L28" s="49"/>
      <c r="M28" s="49"/>
      <c r="N28" s="49"/>
      <c r="O28" s="49"/>
      <c r="P28" s="49"/>
      <c r="Q28" s="49"/>
      <c r="R28" s="49"/>
    </row>
    <row r="29" spans="1:18" ht="15.5">
      <c r="A29" s="14">
        <v>28</v>
      </c>
      <c r="B29" s="13" t="s">
        <v>211</v>
      </c>
      <c r="C29" s="48"/>
      <c r="E29" s="51"/>
      <c r="F29" s="49"/>
      <c r="G29" s="49"/>
      <c r="H29" s="50"/>
      <c r="I29" s="49"/>
      <c r="J29" s="49"/>
      <c r="K29" s="49"/>
      <c r="L29" s="49"/>
      <c r="M29" s="49"/>
      <c r="N29" s="49"/>
      <c r="O29" s="49"/>
      <c r="P29" s="49"/>
      <c r="Q29" s="49"/>
      <c r="R29" s="49"/>
    </row>
    <row r="30" spans="1:18" ht="15.5">
      <c r="A30" s="14">
        <v>29</v>
      </c>
      <c r="B30" s="13" t="s">
        <v>212</v>
      </c>
      <c r="C30" s="48"/>
      <c r="E30" s="51"/>
      <c r="F30" s="49"/>
      <c r="G30" s="49"/>
      <c r="H30" s="50"/>
      <c r="I30" s="49"/>
      <c r="J30" s="49"/>
      <c r="K30" s="49"/>
      <c r="L30" s="49"/>
      <c r="M30" s="49"/>
      <c r="N30" s="49"/>
      <c r="O30" s="49"/>
      <c r="P30" s="49"/>
      <c r="Q30" s="49"/>
      <c r="R30" s="49"/>
    </row>
    <row r="31" spans="1:18" ht="15.5">
      <c r="A31" s="14">
        <v>30</v>
      </c>
      <c r="B31" s="13" t="s">
        <v>213</v>
      </c>
      <c r="C31" s="48"/>
      <c r="E31" s="51"/>
      <c r="F31" s="49"/>
      <c r="G31" s="49"/>
      <c r="H31" s="50"/>
      <c r="I31" s="49"/>
      <c r="J31" s="49"/>
      <c r="K31" s="49"/>
      <c r="L31" s="49"/>
      <c r="M31" s="49"/>
      <c r="N31" s="49"/>
      <c r="O31" s="49"/>
      <c r="P31" s="49"/>
      <c r="Q31" s="49"/>
      <c r="R31" s="49"/>
    </row>
    <row r="32" spans="1:18" ht="15.5">
      <c r="A32" s="14">
        <v>31</v>
      </c>
      <c r="B32" s="13" t="s">
        <v>214</v>
      </c>
      <c r="C32" s="48"/>
      <c r="E32" s="51"/>
      <c r="F32" s="49"/>
      <c r="G32" s="49"/>
      <c r="H32" s="50"/>
      <c r="I32" s="49"/>
      <c r="J32" s="49"/>
      <c r="K32" s="49"/>
      <c r="L32" s="49"/>
      <c r="M32" s="49"/>
      <c r="N32" s="49"/>
      <c r="O32" s="49"/>
      <c r="P32" s="49"/>
      <c r="Q32" s="49"/>
      <c r="R32" s="49"/>
    </row>
    <row r="33" spans="1:18" ht="15.5">
      <c r="A33" s="14">
        <v>32</v>
      </c>
      <c r="B33" s="13" t="s">
        <v>215</v>
      </c>
      <c r="C33" s="48"/>
      <c r="E33" s="51"/>
      <c r="F33" s="49"/>
      <c r="G33" s="49"/>
      <c r="H33" s="50"/>
      <c r="I33" s="49"/>
      <c r="J33" s="49"/>
      <c r="K33" s="49"/>
      <c r="L33" s="49"/>
      <c r="M33" s="49"/>
      <c r="N33" s="49"/>
      <c r="O33" s="49"/>
      <c r="P33" s="49"/>
      <c r="Q33" s="49"/>
      <c r="R33" s="49"/>
    </row>
    <row r="34" spans="1:18" ht="15.5">
      <c r="A34" s="14">
        <v>33</v>
      </c>
      <c r="B34" s="13" t="s">
        <v>216</v>
      </c>
      <c r="C34" s="48"/>
      <c r="E34" s="51"/>
      <c r="F34" s="49"/>
      <c r="G34" s="49"/>
      <c r="H34" s="50"/>
      <c r="I34" s="49"/>
      <c r="J34" s="49"/>
      <c r="K34" s="49"/>
      <c r="L34" s="49"/>
      <c r="M34" s="49"/>
      <c r="N34" s="49"/>
      <c r="O34" s="49"/>
      <c r="P34" s="49"/>
      <c r="Q34" s="49"/>
      <c r="R34" s="49"/>
    </row>
    <row r="35" spans="1:18" ht="15.5">
      <c r="A35" s="14">
        <v>34</v>
      </c>
      <c r="B35" s="13" t="s">
        <v>217</v>
      </c>
      <c r="C35" s="48"/>
      <c r="E35" s="51"/>
      <c r="F35" s="49"/>
      <c r="G35" s="49"/>
      <c r="H35" s="50"/>
      <c r="I35" s="49"/>
      <c r="J35" s="49"/>
      <c r="K35" s="49"/>
      <c r="L35" s="49"/>
      <c r="M35" s="49"/>
      <c r="N35" s="49"/>
      <c r="O35" s="49"/>
      <c r="P35" s="49"/>
      <c r="Q35" s="49"/>
      <c r="R35" s="49"/>
    </row>
    <row r="36" spans="1:18" ht="15.5">
      <c r="A36" s="14">
        <v>35</v>
      </c>
      <c r="B36" s="13" t="s">
        <v>218</v>
      </c>
      <c r="C36" s="48"/>
      <c r="E36" s="51"/>
      <c r="F36" s="49"/>
      <c r="G36" s="49"/>
      <c r="H36" s="50"/>
      <c r="I36" s="49"/>
      <c r="J36" s="49"/>
      <c r="K36" s="49"/>
      <c r="L36" s="49"/>
      <c r="M36" s="49"/>
      <c r="N36" s="49"/>
      <c r="O36" s="49"/>
      <c r="P36" s="49"/>
      <c r="Q36" s="49"/>
      <c r="R36" s="49"/>
    </row>
    <row r="37" spans="1:18" ht="15.5">
      <c r="A37" s="14">
        <v>36</v>
      </c>
      <c r="B37" s="13" t="s">
        <v>219</v>
      </c>
      <c r="C37" s="48"/>
      <c r="E37" s="51"/>
      <c r="F37" s="49"/>
      <c r="G37" s="49"/>
      <c r="H37" s="50"/>
      <c r="I37" s="49"/>
      <c r="J37" s="49"/>
      <c r="K37" s="49"/>
      <c r="L37" s="49"/>
      <c r="M37" s="49"/>
      <c r="N37" s="49"/>
      <c r="O37" s="49"/>
      <c r="P37" s="49"/>
      <c r="Q37" s="49"/>
      <c r="R37" s="49"/>
    </row>
    <row r="38" spans="1:18" ht="15.5">
      <c r="A38" s="14">
        <v>37</v>
      </c>
      <c r="B38" s="13" t="s">
        <v>220</v>
      </c>
      <c r="C38" s="48"/>
      <c r="E38" s="51"/>
      <c r="F38" s="49"/>
      <c r="G38" s="49"/>
      <c r="H38" s="50"/>
      <c r="I38" s="49"/>
      <c r="J38" s="49"/>
      <c r="K38" s="49"/>
      <c r="L38" s="49"/>
      <c r="M38" s="49"/>
      <c r="N38" s="49"/>
      <c r="O38" s="49"/>
      <c r="P38" s="49"/>
      <c r="Q38" s="49"/>
      <c r="R38" s="49"/>
    </row>
    <row r="39" spans="1:18" ht="15.5">
      <c r="A39" s="14">
        <v>38</v>
      </c>
      <c r="B39" s="13" t="s">
        <v>221</v>
      </c>
      <c r="C39" s="48"/>
      <c r="E39" s="51"/>
      <c r="F39" s="49"/>
      <c r="G39" s="49"/>
      <c r="H39" s="50"/>
      <c r="I39" s="49"/>
      <c r="J39" s="49"/>
      <c r="K39" s="49"/>
      <c r="L39" s="49"/>
      <c r="M39" s="49"/>
      <c r="N39" s="49"/>
      <c r="O39" s="49"/>
      <c r="P39" s="49"/>
      <c r="Q39" s="49"/>
      <c r="R39" s="49"/>
    </row>
    <row r="40" spans="1:18" ht="15.5">
      <c r="A40" s="14">
        <v>39</v>
      </c>
      <c r="B40" s="13" t="s">
        <v>222</v>
      </c>
      <c r="C40" s="48"/>
      <c r="E40" s="51"/>
      <c r="F40" s="49"/>
      <c r="G40" s="49"/>
      <c r="H40" s="50"/>
      <c r="I40" s="49"/>
      <c r="J40" s="49"/>
      <c r="K40" s="49"/>
      <c r="L40" s="49"/>
      <c r="M40" s="49"/>
      <c r="N40" s="49"/>
      <c r="O40" s="49"/>
      <c r="P40" s="49"/>
      <c r="Q40" s="49"/>
      <c r="R40" s="49"/>
    </row>
    <row r="41" spans="1:18" ht="15.5">
      <c r="A41" s="14">
        <v>40</v>
      </c>
      <c r="B41" s="13" t="s">
        <v>223</v>
      </c>
      <c r="C41" s="48"/>
      <c r="E41" s="51"/>
      <c r="F41" s="49"/>
      <c r="G41" s="49"/>
      <c r="H41" s="50"/>
      <c r="I41" s="49"/>
      <c r="J41" s="49"/>
      <c r="K41" s="49"/>
      <c r="L41" s="49"/>
      <c r="M41" s="49"/>
      <c r="N41" s="49"/>
      <c r="O41" s="49"/>
      <c r="P41" s="49"/>
      <c r="Q41" s="49"/>
      <c r="R41" s="49"/>
    </row>
    <row r="42" spans="1:18" ht="15.5">
      <c r="A42" s="14">
        <v>41</v>
      </c>
      <c r="B42" s="13" t="s">
        <v>224</v>
      </c>
      <c r="C42" s="48"/>
      <c r="E42" s="51"/>
      <c r="F42" s="49"/>
      <c r="G42" s="49"/>
      <c r="H42" s="50"/>
      <c r="I42" s="49"/>
      <c r="J42" s="49"/>
      <c r="K42" s="49"/>
      <c r="L42" s="49"/>
      <c r="M42" s="49"/>
      <c r="N42" s="49"/>
      <c r="O42" s="49"/>
      <c r="P42" s="49"/>
      <c r="Q42" s="49"/>
      <c r="R42" s="49"/>
    </row>
    <row r="43" spans="1:18" ht="15.5">
      <c r="A43" s="14">
        <v>42</v>
      </c>
      <c r="B43" s="13" t="s">
        <v>225</v>
      </c>
      <c r="C43" s="48"/>
      <c r="E43" s="51"/>
      <c r="F43" s="49"/>
      <c r="G43" s="49"/>
      <c r="H43" s="50"/>
      <c r="I43" s="49"/>
      <c r="J43" s="49"/>
      <c r="K43" s="49"/>
      <c r="L43" s="49"/>
      <c r="M43" s="49"/>
      <c r="N43" s="49"/>
      <c r="O43" s="49"/>
      <c r="P43" s="49"/>
      <c r="Q43" s="49"/>
      <c r="R43" s="49"/>
    </row>
    <row r="44" spans="1:18" ht="15.5">
      <c r="A44" s="14">
        <v>43</v>
      </c>
      <c r="B44" s="13" t="s">
        <v>226</v>
      </c>
      <c r="C44" s="48"/>
      <c r="E44" s="51"/>
      <c r="F44" s="49"/>
      <c r="G44" s="49"/>
      <c r="H44" s="50"/>
      <c r="I44" s="49"/>
      <c r="J44" s="49"/>
      <c r="K44" s="49"/>
      <c r="L44" s="49"/>
      <c r="M44" s="49"/>
      <c r="N44" s="49"/>
      <c r="O44" s="49"/>
      <c r="P44" s="49"/>
      <c r="Q44" s="49"/>
      <c r="R44" s="49"/>
    </row>
    <row r="45" spans="1:18" ht="15.5">
      <c r="A45" s="14">
        <v>44</v>
      </c>
      <c r="B45" s="13" t="s">
        <v>227</v>
      </c>
      <c r="C45" s="48"/>
      <c r="E45" s="51"/>
      <c r="F45" s="49"/>
      <c r="G45" s="49"/>
      <c r="H45" s="50"/>
      <c r="I45" s="49"/>
      <c r="J45" s="49"/>
      <c r="K45" s="49"/>
      <c r="L45" s="49"/>
      <c r="M45" s="49"/>
      <c r="N45" s="49"/>
      <c r="O45" s="49"/>
      <c r="P45" s="49"/>
      <c r="Q45" s="49"/>
      <c r="R45" s="49"/>
    </row>
    <row r="46" spans="1:18" ht="15.5">
      <c r="A46" s="14">
        <v>45</v>
      </c>
      <c r="B46" s="13" t="s">
        <v>228</v>
      </c>
      <c r="C46" s="48"/>
      <c r="E46" s="51"/>
      <c r="F46" s="49"/>
      <c r="G46" s="49"/>
      <c r="H46" s="50"/>
      <c r="I46" s="49"/>
      <c r="J46" s="49"/>
      <c r="K46" s="49"/>
      <c r="L46" s="49"/>
      <c r="M46" s="49"/>
      <c r="N46" s="49"/>
      <c r="O46" s="49"/>
      <c r="P46" s="49"/>
      <c r="Q46" s="49"/>
      <c r="R46" s="49"/>
    </row>
    <row r="47" spans="1:18" ht="15.5">
      <c r="A47" s="14">
        <v>46</v>
      </c>
      <c r="B47" s="13" t="s">
        <v>229</v>
      </c>
      <c r="C47" s="48"/>
      <c r="E47" s="51"/>
      <c r="F47" s="49"/>
      <c r="G47" s="49"/>
      <c r="H47" s="50"/>
      <c r="I47" s="49"/>
      <c r="J47" s="49"/>
      <c r="K47" s="49"/>
      <c r="L47" s="49"/>
      <c r="M47" s="49"/>
      <c r="N47" s="49"/>
      <c r="O47" s="49"/>
      <c r="P47" s="49"/>
      <c r="Q47" s="49"/>
      <c r="R47" s="49"/>
    </row>
    <row r="48" spans="1:18" ht="15.5">
      <c r="A48" s="14">
        <v>47</v>
      </c>
      <c r="B48" s="13" t="s">
        <v>230</v>
      </c>
      <c r="C48" s="48"/>
      <c r="E48" s="51"/>
      <c r="F48" s="49"/>
      <c r="G48" s="49"/>
      <c r="H48" s="50"/>
      <c r="I48" s="49"/>
      <c r="J48" s="49"/>
      <c r="K48" s="49"/>
      <c r="L48" s="49"/>
      <c r="M48" s="49"/>
      <c r="N48" s="49"/>
      <c r="O48" s="49"/>
      <c r="P48" s="49"/>
      <c r="Q48" s="49"/>
      <c r="R48" s="49"/>
    </row>
    <row r="49" spans="1:18" ht="15.5">
      <c r="A49" s="14">
        <v>48</v>
      </c>
      <c r="B49" s="13" t="s">
        <v>231</v>
      </c>
      <c r="C49" s="48"/>
      <c r="E49" s="51"/>
      <c r="F49" s="49"/>
      <c r="G49" s="49"/>
      <c r="H49" s="50"/>
      <c r="I49" s="49"/>
      <c r="J49" s="49"/>
      <c r="K49" s="49"/>
      <c r="L49" s="49"/>
      <c r="M49" s="49"/>
      <c r="N49" s="49"/>
      <c r="O49" s="49"/>
      <c r="P49" s="49"/>
      <c r="Q49" s="49"/>
      <c r="R49" s="49"/>
    </row>
    <row r="50" spans="1:18" ht="15.5">
      <c r="A50" s="14">
        <v>49</v>
      </c>
      <c r="B50" s="13" t="s">
        <v>232</v>
      </c>
      <c r="C50" s="48"/>
      <c r="E50" s="51"/>
      <c r="F50" s="49"/>
      <c r="G50" s="49"/>
      <c r="H50" s="50"/>
      <c r="I50" s="49"/>
      <c r="J50" s="49"/>
      <c r="K50" s="49"/>
      <c r="L50" s="49"/>
      <c r="M50" s="49"/>
      <c r="N50" s="49"/>
      <c r="O50" s="49"/>
      <c r="P50" s="49"/>
      <c r="Q50" s="49"/>
      <c r="R50" s="49"/>
    </row>
    <row r="51" spans="1:18" ht="15.5">
      <c r="A51" s="14">
        <v>50</v>
      </c>
      <c r="B51" s="13" t="s">
        <v>233</v>
      </c>
      <c r="C51" s="48"/>
      <c r="E51" s="51"/>
      <c r="F51" s="49"/>
      <c r="G51" s="49"/>
      <c r="H51" s="50"/>
      <c r="I51" s="49"/>
      <c r="J51" s="49"/>
      <c r="K51" s="49"/>
      <c r="L51" s="49"/>
      <c r="M51" s="49"/>
      <c r="N51" s="49"/>
      <c r="O51" s="49"/>
      <c r="P51" s="49"/>
      <c r="Q51" s="49"/>
      <c r="R51" s="49"/>
    </row>
    <row r="52" spans="1:18" ht="15.5">
      <c r="A52" s="14">
        <v>51</v>
      </c>
      <c r="B52" s="13" t="s">
        <v>234</v>
      </c>
      <c r="C52" s="48"/>
      <c r="E52" s="51"/>
      <c r="F52" s="49"/>
      <c r="G52" s="49"/>
      <c r="H52" s="50"/>
      <c r="I52" s="49"/>
      <c r="J52" s="49"/>
      <c r="K52" s="49"/>
      <c r="L52" s="49"/>
      <c r="M52" s="49"/>
      <c r="N52" s="49"/>
      <c r="O52" s="49"/>
      <c r="P52" s="49"/>
      <c r="Q52" s="49"/>
      <c r="R52" s="49"/>
    </row>
    <row r="53" spans="1:18" ht="15.5">
      <c r="A53" s="14">
        <v>52</v>
      </c>
      <c r="B53" s="13" t="s">
        <v>235</v>
      </c>
      <c r="C53" s="48"/>
      <c r="E53" s="51"/>
      <c r="F53" s="49"/>
      <c r="G53" s="49"/>
      <c r="H53" s="50"/>
      <c r="I53" s="49"/>
      <c r="J53" s="49"/>
      <c r="K53" s="49"/>
      <c r="L53" s="49"/>
      <c r="M53" s="49"/>
      <c r="N53" s="49"/>
      <c r="O53" s="49"/>
      <c r="P53" s="49"/>
      <c r="Q53" s="49"/>
      <c r="R53" s="49"/>
    </row>
    <row r="54" spans="1:18" ht="15.5">
      <c r="A54" s="14">
        <v>53</v>
      </c>
      <c r="B54" s="13" t="s">
        <v>236</v>
      </c>
      <c r="C54" s="48"/>
      <c r="E54" s="51"/>
      <c r="F54" s="49"/>
      <c r="G54" s="49"/>
      <c r="H54" s="50"/>
      <c r="I54" s="49"/>
      <c r="J54" s="49"/>
      <c r="K54" s="49"/>
      <c r="L54" s="49"/>
      <c r="M54" s="49"/>
      <c r="N54" s="49"/>
      <c r="O54" s="49"/>
      <c r="P54" s="49"/>
      <c r="Q54" s="49"/>
      <c r="R54" s="49"/>
    </row>
    <row r="55" spans="1:18" ht="15.5">
      <c r="A55" s="14">
        <v>54</v>
      </c>
      <c r="B55" s="13" t="s">
        <v>257</v>
      </c>
      <c r="C55" s="48"/>
      <c r="E55" s="51"/>
      <c r="F55" s="49"/>
      <c r="G55" s="49"/>
      <c r="H55" s="50"/>
      <c r="I55" s="49"/>
      <c r="J55" s="49"/>
      <c r="K55" s="49"/>
      <c r="L55" s="49"/>
      <c r="M55" s="49"/>
      <c r="N55" s="49"/>
      <c r="O55" s="49"/>
      <c r="P55" s="49"/>
      <c r="Q55" s="49"/>
      <c r="R55" s="49"/>
    </row>
    <row r="56" spans="1:18">
      <c r="A56" s="14">
        <v>55</v>
      </c>
      <c r="B56" s="139" t="s">
        <v>307</v>
      </c>
    </row>
    <row r="57" spans="1:18" ht="29">
      <c r="A57" s="14">
        <v>56</v>
      </c>
      <c r="B57" s="53" t="s">
        <v>258</v>
      </c>
    </row>
    <row r="58" spans="1:18" ht="29">
      <c r="A58" s="14">
        <v>57</v>
      </c>
      <c r="B58" s="54" t="s">
        <v>267</v>
      </c>
    </row>
    <row r="59" spans="1:18">
      <c r="A59" s="14">
        <v>58</v>
      </c>
      <c r="B59" s="54" t="s">
        <v>268</v>
      </c>
    </row>
    <row r="60" spans="1:18">
      <c r="A60" s="14">
        <v>59</v>
      </c>
      <c r="B60" s="50" t="s">
        <v>271</v>
      </c>
    </row>
  </sheetData>
  <sheetProtection algorithmName="SHA-512" hashValue="UJhE/jsKEQPJJPVyqcHYbmfd3hofwDzjRze9tXMexQiddt+R7rybJRzTDET3x0crAkB5a7L22qTxb2kNOIHQbw==" saltValue="pIRc/Ayh1SUBdBB0HFbbKw==" spinCount="100000" sheet="1" objects="1" scenarios="1" formatCells="0"/>
  <phoneticPr fontId="5"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60"/>
  <sheetViews>
    <sheetView workbookViewId="0">
      <pane ySplit="1" topLeftCell="A39" activePane="bottomLeft" state="frozen"/>
      <selection pane="bottomLeft" activeCell="G1" sqref="G1"/>
    </sheetView>
  </sheetViews>
  <sheetFormatPr defaultColWidth="9.1796875" defaultRowHeight="14.5"/>
  <cols>
    <col min="2" max="2" width="13.1796875" customWidth="1"/>
    <col min="3" max="3" width="20.36328125" customWidth="1"/>
    <col min="6" max="6" width="11.81640625" customWidth="1"/>
  </cols>
  <sheetData>
    <row r="1" spans="1:7" s="4" customFormat="1">
      <c r="A1" s="4" t="s">
        <v>4</v>
      </c>
      <c r="B1" s="4" t="s">
        <v>51</v>
      </c>
      <c r="C1" s="4" t="s">
        <v>52</v>
      </c>
      <c r="D1" s="4" t="s">
        <v>53</v>
      </c>
      <c r="E1" s="4" t="s">
        <v>110</v>
      </c>
      <c r="F1" s="4" t="s">
        <v>112</v>
      </c>
      <c r="G1" s="4" t="s">
        <v>111</v>
      </c>
    </row>
    <row r="2" spans="1:7">
      <c r="A2">
        <v>1</v>
      </c>
      <c r="B2" t="s">
        <v>134</v>
      </c>
      <c r="C2" t="s">
        <v>12</v>
      </c>
      <c r="D2" t="b">
        <v>1</v>
      </c>
      <c r="E2">
        <v>10</v>
      </c>
      <c r="F2">
        <v>10</v>
      </c>
    </row>
    <row r="3" spans="1:7">
      <c r="A3">
        <v>2</v>
      </c>
      <c r="B3" t="s">
        <v>134</v>
      </c>
      <c r="C3" t="s">
        <v>14</v>
      </c>
      <c r="D3" t="b">
        <v>1</v>
      </c>
      <c r="E3">
        <v>10</v>
      </c>
      <c r="F3">
        <v>10</v>
      </c>
    </row>
    <row r="4" spans="1:7">
      <c r="A4">
        <v>3</v>
      </c>
      <c r="B4" t="s">
        <v>134</v>
      </c>
      <c r="C4" t="s">
        <v>16</v>
      </c>
      <c r="D4" t="b">
        <v>1</v>
      </c>
      <c r="E4">
        <v>6</v>
      </c>
      <c r="F4">
        <v>6</v>
      </c>
    </row>
    <row r="5" spans="1:7">
      <c r="A5">
        <v>4</v>
      </c>
      <c r="B5" t="s">
        <v>134</v>
      </c>
      <c r="C5" t="s">
        <v>18</v>
      </c>
      <c r="D5" t="b">
        <v>1</v>
      </c>
      <c r="E5">
        <v>10</v>
      </c>
      <c r="F5">
        <v>10</v>
      </c>
    </row>
    <row r="6" spans="1:7">
      <c r="A6">
        <v>5</v>
      </c>
      <c r="B6" t="s">
        <v>134</v>
      </c>
      <c r="C6" t="s">
        <v>19</v>
      </c>
      <c r="D6" t="b">
        <v>1</v>
      </c>
      <c r="E6">
        <v>10</v>
      </c>
      <c r="F6">
        <v>10</v>
      </c>
    </row>
    <row r="7" spans="1:7">
      <c r="A7">
        <v>6</v>
      </c>
      <c r="B7" t="s">
        <v>134</v>
      </c>
      <c r="C7" t="s">
        <v>20</v>
      </c>
      <c r="D7" t="b">
        <v>1</v>
      </c>
      <c r="E7">
        <v>9</v>
      </c>
      <c r="F7">
        <v>9</v>
      </c>
    </row>
    <row r="8" spans="1:7">
      <c r="A8">
        <v>7</v>
      </c>
      <c r="B8" t="s">
        <v>134</v>
      </c>
      <c r="C8" t="s">
        <v>21</v>
      </c>
      <c r="D8" t="b">
        <v>1</v>
      </c>
      <c r="E8">
        <v>9</v>
      </c>
      <c r="F8">
        <v>9</v>
      </c>
    </row>
    <row r="9" spans="1:7">
      <c r="A9">
        <v>8</v>
      </c>
      <c r="B9" t="s">
        <v>134</v>
      </c>
      <c r="C9" t="s">
        <v>22</v>
      </c>
      <c r="D9" t="b">
        <v>1</v>
      </c>
      <c r="E9">
        <v>5</v>
      </c>
      <c r="F9">
        <v>5</v>
      </c>
    </row>
    <row r="10" spans="1:7">
      <c r="A10">
        <v>9</v>
      </c>
      <c r="B10" t="s">
        <v>134</v>
      </c>
      <c r="C10" t="s">
        <v>23</v>
      </c>
      <c r="D10" t="b">
        <v>0</v>
      </c>
      <c r="E10">
        <v>10</v>
      </c>
      <c r="F10">
        <v>0</v>
      </c>
    </row>
    <row r="11" spans="1:7">
      <c r="A11">
        <v>10</v>
      </c>
      <c r="B11" t="s">
        <v>134</v>
      </c>
      <c r="C11" t="s">
        <v>24</v>
      </c>
      <c r="D11" t="b">
        <v>1</v>
      </c>
      <c r="E11">
        <v>6</v>
      </c>
      <c r="F11">
        <v>6</v>
      </c>
    </row>
    <row r="12" spans="1:7">
      <c r="A12">
        <v>11</v>
      </c>
      <c r="B12" t="s">
        <v>134</v>
      </c>
      <c r="C12" t="s">
        <v>25</v>
      </c>
      <c r="D12" t="b">
        <v>1</v>
      </c>
      <c r="E12">
        <v>5</v>
      </c>
      <c r="F12">
        <v>5</v>
      </c>
    </row>
    <row r="13" spans="1:7">
      <c r="A13">
        <v>12</v>
      </c>
      <c r="B13" t="s">
        <v>134</v>
      </c>
      <c r="C13" t="s">
        <v>26</v>
      </c>
      <c r="D13" t="b">
        <v>1</v>
      </c>
      <c r="E13">
        <v>5</v>
      </c>
      <c r="F13">
        <v>5</v>
      </c>
    </row>
    <row r="14" spans="1:7">
      <c r="A14">
        <v>13</v>
      </c>
      <c r="B14" t="s">
        <v>134</v>
      </c>
      <c r="C14" t="s">
        <v>27</v>
      </c>
      <c r="D14" t="b">
        <v>1</v>
      </c>
      <c r="E14">
        <v>6</v>
      </c>
      <c r="F14">
        <v>6</v>
      </c>
    </row>
    <row r="15" spans="1:7">
      <c r="A15">
        <v>14</v>
      </c>
      <c r="B15" t="s">
        <v>134</v>
      </c>
      <c r="C15" t="s">
        <v>28</v>
      </c>
      <c r="D15" t="b">
        <v>1</v>
      </c>
      <c r="E15">
        <v>6</v>
      </c>
      <c r="F15">
        <v>6</v>
      </c>
    </row>
    <row r="16" spans="1:7">
      <c r="A16">
        <v>15</v>
      </c>
      <c r="B16" t="s">
        <v>134</v>
      </c>
      <c r="C16" t="s">
        <v>29</v>
      </c>
      <c r="D16" t="b">
        <v>1</v>
      </c>
      <c r="E16">
        <v>7</v>
      </c>
      <c r="F16">
        <v>7</v>
      </c>
    </row>
    <row r="17" spans="1:6">
      <c r="A17">
        <v>16</v>
      </c>
      <c r="B17" t="s">
        <v>134</v>
      </c>
      <c r="C17" t="s">
        <v>30</v>
      </c>
      <c r="D17" t="b">
        <v>0</v>
      </c>
      <c r="E17">
        <v>10</v>
      </c>
      <c r="F17">
        <v>0</v>
      </c>
    </row>
    <row r="18" spans="1:6">
      <c r="A18">
        <v>17</v>
      </c>
      <c r="B18" t="s">
        <v>134</v>
      </c>
      <c r="C18" t="s">
        <v>31</v>
      </c>
      <c r="D18" t="b">
        <v>1</v>
      </c>
      <c r="E18">
        <v>10</v>
      </c>
      <c r="F18">
        <v>10</v>
      </c>
    </row>
    <row r="19" spans="1:6">
      <c r="A19">
        <v>18</v>
      </c>
      <c r="B19" t="s">
        <v>134</v>
      </c>
      <c r="C19" t="s">
        <v>32</v>
      </c>
      <c r="D19" t="b">
        <v>1</v>
      </c>
      <c r="E19">
        <v>10</v>
      </c>
      <c r="F19">
        <v>10</v>
      </c>
    </row>
    <row r="20" spans="1:6">
      <c r="A20">
        <v>19</v>
      </c>
      <c r="B20" t="s">
        <v>134</v>
      </c>
      <c r="C20" t="s">
        <v>33</v>
      </c>
      <c r="D20" t="b">
        <v>1</v>
      </c>
      <c r="E20">
        <v>10</v>
      </c>
      <c r="F20">
        <v>10</v>
      </c>
    </row>
    <row r="21" spans="1:6">
      <c r="A21">
        <v>20</v>
      </c>
      <c r="B21" t="s">
        <v>134</v>
      </c>
      <c r="C21" t="s">
        <v>238</v>
      </c>
      <c r="D21" t="b">
        <v>1</v>
      </c>
      <c r="E21">
        <v>6</v>
      </c>
      <c r="F21">
        <v>6</v>
      </c>
    </row>
    <row r="22" spans="1:6">
      <c r="A22">
        <v>21</v>
      </c>
      <c r="B22" t="s">
        <v>134</v>
      </c>
      <c r="C22" t="s">
        <v>34</v>
      </c>
      <c r="D22" t="b">
        <v>1</v>
      </c>
      <c r="E22">
        <v>6</v>
      </c>
      <c r="F22">
        <v>6</v>
      </c>
    </row>
    <row r="23" spans="1:6">
      <c r="A23">
        <v>22</v>
      </c>
      <c r="B23" t="s">
        <v>134</v>
      </c>
      <c r="C23" t="s">
        <v>35</v>
      </c>
      <c r="D23" t="b">
        <v>1</v>
      </c>
      <c r="E23">
        <v>6</v>
      </c>
      <c r="F23">
        <v>6</v>
      </c>
    </row>
    <row r="24" spans="1:6">
      <c r="A24">
        <v>23</v>
      </c>
      <c r="B24" t="s">
        <v>134</v>
      </c>
      <c r="C24" t="s">
        <v>36</v>
      </c>
      <c r="D24" t="b">
        <v>1</v>
      </c>
      <c r="E24">
        <v>6</v>
      </c>
      <c r="F24">
        <v>6</v>
      </c>
    </row>
    <row r="25" spans="1:6">
      <c r="A25">
        <v>24</v>
      </c>
      <c r="B25" t="s">
        <v>134</v>
      </c>
      <c r="C25" t="s">
        <v>37</v>
      </c>
      <c r="D25" t="b">
        <v>1</v>
      </c>
      <c r="E25">
        <v>6</v>
      </c>
      <c r="F25">
        <v>6</v>
      </c>
    </row>
    <row r="26" spans="1:6">
      <c r="A26">
        <v>25</v>
      </c>
      <c r="B26" t="s">
        <v>134</v>
      </c>
      <c r="C26" t="s">
        <v>38</v>
      </c>
      <c r="D26" t="b">
        <v>1</v>
      </c>
      <c r="E26">
        <v>6</v>
      </c>
      <c r="F26">
        <v>6</v>
      </c>
    </row>
    <row r="27" spans="1:6">
      <c r="A27">
        <v>26</v>
      </c>
      <c r="B27" t="s">
        <v>134</v>
      </c>
      <c r="C27" t="s">
        <v>39</v>
      </c>
      <c r="D27" t="b">
        <v>1</v>
      </c>
      <c r="E27">
        <v>6</v>
      </c>
      <c r="F27">
        <v>6</v>
      </c>
    </row>
    <row r="28" spans="1:6">
      <c r="A28">
        <v>27</v>
      </c>
      <c r="B28" t="s">
        <v>134</v>
      </c>
      <c r="C28" t="s">
        <v>40</v>
      </c>
      <c r="D28" t="b">
        <v>1</v>
      </c>
      <c r="E28">
        <v>10</v>
      </c>
      <c r="F28">
        <v>10</v>
      </c>
    </row>
    <row r="29" spans="1:6">
      <c r="A29">
        <v>28</v>
      </c>
      <c r="B29" t="s">
        <v>134</v>
      </c>
      <c r="C29" t="s">
        <v>41</v>
      </c>
      <c r="D29" t="b">
        <v>1</v>
      </c>
      <c r="E29">
        <v>10</v>
      </c>
      <c r="F29">
        <v>10</v>
      </c>
    </row>
    <row r="30" spans="1:6">
      <c r="A30">
        <v>29</v>
      </c>
      <c r="B30" t="s">
        <v>134</v>
      </c>
      <c r="C30" t="s">
        <v>42</v>
      </c>
      <c r="D30" t="b">
        <v>1</v>
      </c>
      <c r="E30">
        <v>10</v>
      </c>
      <c r="F30">
        <v>10</v>
      </c>
    </row>
    <row r="31" spans="1:6">
      <c r="A31">
        <v>30</v>
      </c>
      <c r="B31" t="s">
        <v>134</v>
      </c>
      <c r="C31" t="s">
        <v>43</v>
      </c>
      <c r="D31" t="b">
        <v>1</v>
      </c>
      <c r="E31">
        <v>6</v>
      </c>
      <c r="F31">
        <v>6</v>
      </c>
    </row>
    <row r="32" spans="1:6">
      <c r="A32">
        <v>31</v>
      </c>
      <c r="B32" t="s">
        <v>134</v>
      </c>
      <c r="C32" t="s">
        <v>44</v>
      </c>
      <c r="D32" t="b">
        <v>1</v>
      </c>
      <c r="E32">
        <v>10</v>
      </c>
      <c r="F32">
        <v>10</v>
      </c>
    </row>
    <row r="33" spans="1:6">
      <c r="A33">
        <v>32</v>
      </c>
      <c r="B33" t="s">
        <v>134</v>
      </c>
      <c r="C33" t="s">
        <v>45</v>
      </c>
      <c r="D33" t="b">
        <v>1</v>
      </c>
      <c r="E33">
        <v>10</v>
      </c>
      <c r="F33">
        <v>10</v>
      </c>
    </row>
    <row r="34" spans="1:6">
      <c r="A34">
        <v>33</v>
      </c>
      <c r="B34" t="s">
        <v>134</v>
      </c>
      <c r="C34" t="s">
        <v>46</v>
      </c>
      <c r="D34" t="b">
        <v>1</v>
      </c>
      <c r="E34">
        <v>9</v>
      </c>
      <c r="F34">
        <v>9</v>
      </c>
    </row>
    <row r="35" spans="1:6">
      <c r="A35">
        <v>34</v>
      </c>
      <c r="B35" t="s">
        <v>134</v>
      </c>
      <c r="C35" t="s">
        <v>47</v>
      </c>
      <c r="D35" t="b">
        <v>1</v>
      </c>
      <c r="E35">
        <v>9</v>
      </c>
      <c r="F35">
        <v>9</v>
      </c>
    </row>
    <row r="36" spans="1:6">
      <c r="A36">
        <v>35</v>
      </c>
      <c r="B36" t="s">
        <v>134</v>
      </c>
      <c r="C36" t="s">
        <v>48</v>
      </c>
      <c r="D36" t="b">
        <v>1</v>
      </c>
      <c r="E36">
        <v>5</v>
      </c>
      <c r="F36">
        <v>5</v>
      </c>
    </row>
    <row r="37" spans="1:6">
      <c r="A37">
        <v>36</v>
      </c>
      <c r="B37" t="s">
        <v>134</v>
      </c>
      <c r="C37" t="s">
        <v>49</v>
      </c>
      <c r="D37" t="b">
        <v>0</v>
      </c>
      <c r="E37">
        <v>10</v>
      </c>
      <c r="F37">
        <v>0</v>
      </c>
    </row>
    <row r="38" spans="1:6">
      <c r="A38">
        <v>37</v>
      </c>
      <c r="B38" t="s">
        <v>134</v>
      </c>
      <c r="C38" t="s">
        <v>50</v>
      </c>
      <c r="D38" t="b">
        <v>1</v>
      </c>
      <c r="E38">
        <v>6</v>
      </c>
      <c r="F38">
        <v>6</v>
      </c>
    </row>
    <row r="39" spans="1:6">
      <c r="A39">
        <v>38</v>
      </c>
      <c r="B39" t="s">
        <v>134</v>
      </c>
      <c r="C39" t="s">
        <v>192</v>
      </c>
      <c r="D39" t="b">
        <v>1</v>
      </c>
      <c r="E39">
        <v>5</v>
      </c>
      <c r="F39">
        <v>5</v>
      </c>
    </row>
    <row r="40" spans="1:6">
      <c r="A40">
        <v>39</v>
      </c>
      <c r="B40" t="s">
        <v>134</v>
      </c>
      <c r="C40" t="s">
        <v>193</v>
      </c>
      <c r="D40" t="b">
        <v>1</v>
      </c>
      <c r="E40">
        <v>5</v>
      </c>
      <c r="F40">
        <v>5</v>
      </c>
    </row>
    <row r="41" spans="1:6">
      <c r="A41">
        <v>40</v>
      </c>
      <c r="B41" t="s">
        <v>134</v>
      </c>
      <c r="C41" t="s">
        <v>194</v>
      </c>
      <c r="D41" t="b">
        <v>1</v>
      </c>
      <c r="E41">
        <v>6</v>
      </c>
      <c r="F41">
        <v>6</v>
      </c>
    </row>
    <row r="42" spans="1:6">
      <c r="A42">
        <v>41</v>
      </c>
      <c r="B42" t="s">
        <v>134</v>
      </c>
      <c r="C42" t="s">
        <v>195</v>
      </c>
      <c r="D42" t="b">
        <v>1</v>
      </c>
      <c r="E42">
        <v>6</v>
      </c>
      <c r="F42">
        <v>6</v>
      </c>
    </row>
    <row r="43" spans="1:6">
      <c r="A43">
        <v>42</v>
      </c>
      <c r="B43" t="s">
        <v>134</v>
      </c>
      <c r="C43" t="s">
        <v>196</v>
      </c>
      <c r="D43" t="b">
        <v>1</v>
      </c>
      <c r="E43">
        <v>7</v>
      </c>
      <c r="F43">
        <v>7</v>
      </c>
    </row>
    <row r="44" spans="1:6">
      <c r="A44">
        <v>43</v>
      </c>
      <c r="B44" t="s">
        <v>134</v>
      </c>
      <c r="C44" t="s">
        <v>197</v>
      </c>
      <c r="D44" t="b">
        <v>0</v>
      </c>
      <c r="E44">
        <v>10</v>
      </c>
      <c r="F44">
        <v>0</v>
      </c>
    </row>
    <row r="45" spans="1:6">
      <c r="A45">
        <v>44</v>
      </c>
      <c r="B45" t="s">
        <v>134</v>
      </c>
      <c r="C45" t="s">
        <v>198</v>
      </c>
      <c r="D45" t="b">
        <v>1</v>
      </c>
      <c r="E45">
        <v>10</v>
      </c>
      <c r="F45">
        <v>10</v>
      </c>
    </row>
    <row r="46" spans="1:6">
      <c r="A46">
        <v>45</v>
      </c>
      <c r="B46" t="s">
        <v>134</v>
      </c>
      <c r="C46" t="s">
        <v>199</v>
      </c>
      <c r="D46" t="b">
        <v>1</v>
      </c>
      <c r="E46">
        <v>10</v>
      </c>
      <c r="F46">
        <v>10</v>
      </c>
    </row>
    <row r="47" spans="1:6">
      <c r="A47">
        <v>46</v>
      </c>
      <c r="B47" t="s">
        <v>134</v>
      </c>
      <c r="C47" t="s">
        <v>200</v>
      </c>
      <c r="D47" t="b">
        <v>1</v>
      </c>
      <c r="E47">
        <v>10</v>
      </c>
      <c r="F47">
        <v>10</v>
      </c>
    </row>
    <row r="48" spans="1:6">
      <c r="A48">
        <v>47</v>
      </c>
      <c r="B48" t="s">
        <v>134</v>
      </c>
      <c r="C48" t="s">
        <v>201</v>
      </c>
      <c r="D48" t="b">
        <v>1</v>
      </c>
      <c r="E48">
        <v>6</v>
      </c>
      <c r="F48">
        <v>6</v>
      </c>
    </row>
    <row r="49" spans="1:6">
      <c r="A49">
        <v>48</v>
      </c>
      <c r="B49" t="s">
        <v>134</v>
      </c>
      <c r="C49" t="s">
        <v>202</v>
      </c>
      <c r="D49" t="b">
        <v>1</v>
      </c>
      <c r="E49">
        <v>6</v>
      </c>
      <c r="F49">
        <v>6</v>
      </c>
    </row>
    <row r="50" spans="1:6">
      <c r="A50">
        <v>49</v>
      </c>
      <c r="B50" t="s">
        <v>134</v>
      </c>
      <c r="C50" t="s">
        <v>203</v>
      </c>
      <c r="D50" t="b">
        <v>1</v>
      </c>
      <c r="E50">
        <v>6</v>
      </c>
      <c r="F50">
        <v>6</v>
      </c>
    </row>
    <row r="51" spans="1:6">
      <c r="A51">
        <v>50</v>
      </c>
      <c r="B51" t="s">
        <v>134</v>
      </c>
      <c r="C51" t="s">
        <v>204</v>
      </c>
      <c r="D51" t="b">
        <v>1</v>
      </c>
      <c r="E51">
        <v>6</v>
      </c>
      <c r="F51">
        <v>6</v>
      </c>
    </row>
    <row r="52" spans="1:6">
      <c r="A52">
        <v>51</v>
      </c>
      <c r="B52" t="s">
        <v>134</v>
      </c>
      <c r="C52" t="s">
        <v>205</v>
      </c>
      <c r="D52" t="b">
        <v>1</v>
      </c>
      <c r="E52">
        <v>6</v>
      </c>
      <c r="F52">
        <v>6</v>
      </c>
    </row>
    <row r="53" spans="1:6">
      <c r="A53">
        <v>52</v>
      </c>
      <c r="B53" t="s">
        <v>134</v>
      </c>
      <c r="C53" t="s">
        <v>206</v>
      </c>
      <c r="D53" t="b">
        <v>1</v>
      </c>
      <c r="E53">
        <v>6</v>
      </c>
      <c r="F53">
        <v>6</v>
      </c>
    </row>
    <row r="54" spans="1:6">
      <c r="A54">
        <v>53</v>
      </c>
      <c r="B54" t="s">
        <v>134</v>
      </c>
      <c r="C54" t="s">
        <v>207</v>
      </c>
      <c r="D54" t="b">
        <v>1</v>
      </c>
      <c r="E54">
        <v>6</v>
      </c>
      <c r="F54">
        <v>6</v>
      </c>
    </row>
    <row r="55" spans="1:6">
      <c r="A55">
        <v>54</v>
      </c>
      <c r="B55" t="s">
        <v>134</v>
      </c>
      <c r="C55" t="s">
        <v>208</v>
      </c>
      <c r="D55" t="b">
        <v>1</v>
      </c>
      <c r="E55">
        <v>10</v>
      </c>
      <c r="F55">
        <v>10</v>
      </c>
    </row>
    <row r="56" spans="1:6">
      <c r="A56">
        <v>55</v>
      </c>
      <c r="B56" t="s">
        <v>134</v>
      </c>
      <c r="C56" t="s">
        <v>237</v>
      </c>
      <c r="D56" t="b">
        <v>1</v>
      </c>
      <c r="E56">
        <v>46</v>
      </c>
      <c r="F56">
        <v>46</v>
      </c>
    </row>
    <row r="57" spans="1:6">
      <c r="A57">
        <v>56</v>
      </c>
      <c r="B57" t="s">
        <v>134</v>
      </c>
      <c r="C57" t="s">
        <v>256</v>
      </c>
      <c r="D57" t="b">
        <v>0</v>
      </c>
      <c r="E57">
        <v>88</v>
      </c>
      <c r="F57">
        <v>68</v>
      </c>
    </row>
    <row r="58" spans="1:6">
      <c r="A58">
        <v>57</v>
      </c>
      <c r="B58" t="s">
        <v>134</v>
      </c>
      <c r="C58" t="s">
        <v>269</v>
      </c>
      <c r="D58" t="b">
        <v>1</v>
      </c>
      <c r="E58">
        <v>72</v>
      </c>
      <c r="F58">
        <v>50</v>
      </c>
    </row>
    <row r="59" spans="1:6">
      <c r="A59">
        <v>58</v>
      </c>
      <c r="B59" t="s">
        <v>134</v>
      </c>
      <c r="C59" t="s">
        <v>270</v>
      </c>
      <c r="D59" t="b">
        <v>1</v>
      </c>
      <c r="E59">
        <v>108</v>
      </c>
      <c r="F59">
        <v>22</v>
      </c>
    </row>
    <row r="60" spans="1:6">
      <c r="A60">
        <v>59</v>
      </c>
      <c r="B60" t="s">
        <v>134</v>
      </c>
      <c r="C60" t="s">
        <v>209</v>
      </c>
      <c r="D60" t="b">
        <v>0</v>
      </c>
      <c r="E60">
        <v>206</v>
      </c>
      <c r="F60">
        <v>186</v>
      </c>
    </row>
  </sheetData>
  <sheetProtection algorithmName="SHA-512" hashValue="1+K+NATKERQdQbwGqUnwnKQjlOLwYzyKbQA3B946Ax1kOSyDkmvot3jbLs3fUvBXwEx9Zq2lko1jFPJ743Q1Rw==" saltValue="qwLk0m3XKYXTfsdqU1tjuw==" spinCount="100000" sheet="1" objects="1" scenarios="1" formatCells="0"/>
  <phoneticPr fontId="5"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60"/>
  <sheetViews>
    <sheetView workbookViewId="0">
      <pane ySplit="1" topLeftCell="A39" activePane="bottomLeft" state="frozen"/>
      <selection sqref="A1:G1"/>
      <selection pane="bottomLeft" activeCell="A2" sqref="A2"/>
    </sheetView>
  </sheetViews>
  <sheetFormatPr defaultColWidth="9.1796875" defaultRowHeight="14.5"/>
  <cols>
    <col min="1" max="1" width="18.1796875" customWidth="1"/>
    <col min="2" max="2" width="18.81640625" customWidth="1"/>
    <col min="3" max="3" width="34.36328125" customWidth="1"/>
  </cols>
  <sheetData>
    <row r="1" spans="1:6" s="2" customFormat="1">
      <c r="A1" s="2" t="s">
        <v>51</v>
      </c>
      <c r="B1" s="2" t="s">
        <v>52</v>
      </c>
      <c r="C1" s="2" t="s">
        <v>53</v>
      </c>
      <c r="D1" s="2" t="s">
        <v>110</v>
      </c>
      <c r="E1" s="2" t="s">
        <v>112</v>
      </c>
      <c r="F1" s="2" t="s">
        <v>111</v>
      </c>
    </row>
    <row r="2" spans="1:6">
      <c r="A2" t="s">
        <v>134</v>
      </c>
      <c r="B2" t="s">
        <v>12</v>
      </c>
      <c r="C2" t="b">
        <v>1</v>
      </c>
      <c r="D2">
        <v>10</v>
      </c>
      <c r="E2">
        <v>10</v>
      </c>
    </row>
    <row r="3" spans="1:6">
      <c r="A3" t="s">
        <v>134</v>
      </c>
      <c r="B3" t="s">
        <v>14</v>
      </c>
      <c r="C3" t="b">
        <v>1</v>
      </c>
      <c r="D3">
        <v>10</v>
      </c>
      <c r="E3">
        <v>10</v>
      </c>
    </row>
    <row r="4" spans="1:6">
      <c r="A4" t="s">
        <v>134</v>
      </c>
      <c r="B4" t="s">
        <v>16</v>
      </c>
      <c r="C4" t="b">
        <v>1</v>
      </c>
      <c r="D4">
        <v>6</v>
      </c>
      <c r="E4">
        <v>6</v>
      </c>
    </row>
    <row r="5" spans="1:6">
      <c r="A5" t="s">
        <v>134</v>
      </c>
      <c r="B5" t="s">
        <v>18</v>
      </c>
      <c r="C5" t="b">
        <v>1</v>
      </c>
      <c r="D5">
        <v>10</v>
      </c>
      <c r="E5">
        <v>10</v>
      </c>
    </row>
    <row r="6" spans="1:6">
      <c r="A6" t="s">
        <v>134</v>
      </c>
      <c r="B6" t="s">
        <v>19</v>
      </c>
      <c r="C6" t="b">
        <v>1</v>
      </c>
      <c r="D6">
        <v>10</v>
      </c>
      <c r="E6">
        <v>10</v>
      </c>
    </row>
    <row r="7" spans="1:6">
      <c r="A7" t="s">
        <v>134</v>
      </c>
      <c r="B7" t="s">
        <v>20</v>
      </c>
      <c r="C7" t="b">
        <v>1</v>
      </c>
      <c r="D7">
        <v>9</v>
      </c>
      <c r="E7">
        <v>9</v>
      </c>
    </row>
    <row r="8" spans="1:6">
      <c r="A8" t="s">
        <v>134</v>
      </c>
      <c r="B8" t="s">
        <v>21</v>
      </c>
      <c r="C8" t="b">
        <v>1</v>
      </c>
      <c r="D8">
        <v>9</v>
      </c>
      <c r="E8">
        <v>9</v>
      </c>
    </row>
    <row r="9" spans="1:6">
      <c r="A9" t="s">
        <v>134</v>
      </c>
      <c r="B9" t="s">
        <v>22</v>
      </c>
      <c r="C9" t="b">
        <v>1</v>
      </c>
      <c r="D9">
        <v>5</v>
      </c>
      <c r="E9">
        <v>5</v>
      </c>
    </row>
    <row r="10" spans="1:6">
      <c r="A10" t="s">
        <v>134</v>
      </c>
      <c r="B10" t="s">
        <v>23</v>
      </c>
      <c r="C10" t="b">
        <v>0</v>
      </c>
      <c r="D10">
        <v>10</v>
      </c>
      <c r="E10">
        <v>0</v>
      </c>
    </row>
    <row r="11" spans="1:6">
      <c r="A11" t="s">
        <v>134</v>
      </c>
      <c r="B11" t="s">
        <v>24</v>
      </c>
      <c r="C11" t="b">
        <v>1</v>
      </c>
      <c r="D11">
        <v>6</v>
      </c>
      <c r="E11">
        <v>6</v>
      </c>
    </row>
    <row r="12" spans="1:6">
      <c r="A12" t="s">
        <v>134</v>
      </c>
      <c r="B12" t="s">
        <v>25</v>
      </c>
      <c r="C12" t="b">
        <v>1</v>
      </c>
      <c r="D12">
        <v>5</v>
      </c>
      <c r="E12">
        <v>5</v>
      </c>
    </row>
    <row r="13" spans="1:6">
      <c r="A13" t="s">
        <v>134</v>
      </c>
      <c r="B13" t="s">
        <v>26</v>
      </c>
      <c r="C13" t="b">
        <v>1</v>
      </c>
      <c r="D13">
        <v>5</v>
      </c>
      <c r="E13">
        <v>5</v>
      </c>
    </row>
    <row r="14" spans="1:6">
      <c r="A14" t="s">
        <v>134</v>
      </c>
      <c r="B14" t="s">
        <v>27</v>
      </c>
      <c r="C14" t="b">
        <v>1</v>
      </c>
      <c r="D14">
        <v>6</v>
      </c>
      <c r="E14">
        <v>6</v>
      </c>
    </row>
    <row r="15" spans="1:6">
      <c r="A15" t="s">
        <v>134</v>
      </c>
      <c r="B15" t="s">
        <v>28</v>
      </c>
      <c r="C15" t="b">
        <v>1</v>
      </c>
      <c r="D15">
        <v>6</v>
      </c>
      <c r="E15">
        <v>6</v>
      </c>
    </row>
    <row r="16" spans="1:6">
      <c r="A16" t="s">
        <v>134</v>
      </c>
      <c r="B16" t="s">
        <v>29</v>
      </c>
      <c r="C16" t="b">
        <v>1</v>
      </c>
      <c r="D16">
        <v>7</v>
      </c>
      <c r="E16">
        <v>7</v>
      </c>
    </row>
    <row r="17" spans="1:5">
      <c r="A17" t="s">
        <v>134</v>
      </c>
      <c r="B17" t="s">
        <v>30</v>
      </c>
      <c r="C17" t="b">
        <v>0</v>
      </c>
      <c r="D17">
        <v>10</v>
      </c>
      <c r="E17">
        <v>0</v>
      </c>
    </row>
    <row r="18" spans="1:5">
      <c r="A18" t="s">
        <v>134</v>
      </c>
      <c r="B18" t="s">
        <v>31</v>
      </c>
      <c r="C18" t="b">
        <v>1</v>
      </c>
      <c r="D18">
        <v>10</v>
      </c>
      <c r="E18">
        <v>10</v>
      </c>
    </row>
    <row r="19" spans="1:5">
      <c r="A19" t="s">
        <v>134</v>
      </c>
      <c r="B19" t="s">
        <v>32</v>
      </c>
      <c r="C19" t="b">
        <v>1</v>
      </c>
      <c r="D19">
        <v>10</v>
      </c>
      <c r="E19">
        <v>10</v>
      </c>
    </row>
    <row r="20" spans="1:5">
      <c r="A20" t="s">
        <v>134</v>
      </c>
      <c r="B20" t="s">
        <v>33</v>
      </c>
      <c r="C20" t="b">
        <v>1</v>
      </c>
      <c r="D20">
        <v>10</v>
      </c>
      <c r="E20">
        <v>10</v>
      </c>
    </row>
    <row r="21" spans="1:5">
      <c r="A21" t="s">
        <v>134</v>
      </c>
      <c r="B21" t="s">
        <v>238</v>
      </c>
      <c r="C21" t="b">
        <v>1</v>
      </c>
      <c r="D21">
        <v>6</v>
      </c>
      <c r="E21">
        <v>6</v>
      </c>
    </row>
    <row r="22" spans="1:5">
      <c r="A22" t="s">
        <v>134</v>
      </c>
      <c r="B22" t="s">
        <v>34</v>
      </c>
      <c r="C22" t="b">
        <v>1</v>
      </c>
      <c r="D22">
        <v>6</v>
      </c>
      <c r="E22">
        <v>6</v>
      </c>
    </row>
    <row r="23" spans="1:5">
      <c r="A23" t="s">
        <v>134</v>
      </c>
      <c r="B23" t="s">
        <v>35</v>
      </c>
      <c r="C23" t="b">
        <v>1</v>
      </c>
      <c r="D23">
        <v>6</v>
      </c>
      <c r="E23">
        <v>6</v>
      </c>
    </row>
    <row r="24" spans="1:5">
      <c r="A24" t="s">
        <v>134</v>
      </c>
      <c r="B24" t="s">
        <v>36</v>
      </c>
      <c r="C24" t="b">
        <v>1</v>
      </c>
      <c r="D24">
        <v>6</v>
      </c>
      <c r="E24">
        <v>6</v>
      </c>
    </row>
    <row r="25" spans="1:5">
      <c r="A25" t="s">
        <v>134</v>
      </c>
      <c r="B25" t="s">
        <v>37</v>
      </c>
      <c r="C25" t="b">
        <v>1</v>
      </c>
      <c r="D25">
        <v>6</v>
      </c>
      <c r="E25">
        <v>6</v>
      </c>
    </row>
    <row r="26" spans="1:5">
      <c r="A26" t="s">
        <v>134</v>
      </c>
      <c r="B26" t="s">
        <v>38</v>
      </c>
      <c r="C26" t="b">
        <v>1</v>
      </c>
      <c r="D26">
        <v>6</v>
      </c>
      <c r="E26">
        <v>6</v>
      </c>
    </row>
    <row r="27" spans="1:5">
      <c r="A27" t="s">
        <v>134</v>
      </c>
      <c r="B27" t="s">
        <v>39</v>
      </c>
      <c r="C27" t="b">
        <v>1</v>
      </c>
      <c r="D27">
        <v>6</v>
      </c>
      <c r="E27">
        <v>6</v>
      </c>
    </row>
    <row r="28" spans="1:5">
      <c r="A28" t="s">
        <v>134</v>
      </c>
      <c r="B28" t="s">
        <v>40</v>
      </c>
      <c r="C28" t="b">
        <v>1</v>
      </c>
      <c r="D28">
        <v>10</v>
      </c>
      <c r="E28">
        <v>10</v>
      </c>
    </row>
    <row r="29" spans="1:5">
      <c r="A29" t="s">
        <v>134</v>
      </c>
      <c r="B29" t="s">
        <v>41</v>
      </c>
      <c r="C29" t="b">
        <v>1</v>
      </c>
      <c r="D29">
        <v>10</v>
      </c>
      <c r="E29">
        <v>10</v>
      </c>
    </row>
    <row r="30" spans="1:5">
      <c r="A30" t="s">
        <v>134</v>
      </c>
      <c r="B30" t="s">
        <v>42</v>
      </c>
      <c r="C30" t="b">
        <v>1</v>
      </c>
      <c r="D30">
        <v>10</v>
      </c>
      <c r="E30">
        <v>10</v>
      </c>
    </row>
    <row r="31" spans="1:5">
      <c r="A31" t="s">
        <v>134</v>
      </c>
      <c r="B31" t="s">
        <v>43</v>
      </c>
      <c r="C31" t="b">
        <v>1</v>
      </c>
      <c r="D31">
        <v>6</v>
      </c>
      <c r="E31">
        <v>6</v>
      </c>
    </row>
    <row r="32" spans="1:5">
      <c r="A32" t="s">
        <v>134</v>
      </c>
      <c r="B32" t="s">
        <v>44</v>
      </c>
      <c r="C32" t="b">
        <v>1</v>
      </c>
      <c r="D32">
        <v>10</v>
      </c>
      <c r="E32">
        <v>10</v>
      </c>
    </row>
    <row r="33" spans="1:5">
      <c r="A33" t="s">
        <v>134</v>
      </c>
      <c r="B33" t="s">
        <v>45</v>
      </c>
      <c r="C33" t="b">
        <v>1</v>
      </c>
      <c r="D33">
        <v>10</v>
      </c>
      <c r="E33">
        <v>10</v>
      </c>
    </row>
    <row r="34" spans="1:5">
      <c r="A34" t="s">
        <v>134</v>
      </c>
      <c r="B34" t="s">
        <v>46</v>
      </c>
      <c r="C34" t="b">
        <v>1</v>
      </c>
      <c r="D34">
        <v>9</v>
      </c>
      <c r="E34">
        <v>9</v>
      </c>
    </row>
    <row r="35" spans="1:5">
      <c r="A35" t="s">
        <v>134</v>
      </c>
      <c r="B35" t="s">
        <v>47</v>
      </c>
      <c r="C35" t="b">
        <v>1</v>
      </c>
      <c r="D35">
        <v>9</v>
      </c>
      <c r="E35">
        <v>9</v>
      </c>
    </row>
    <row r="36" spans="1:5">
      <c r="A36" t="s">
        <v>134</v>
      </c>
      <c r="B36" t="s">
        <v>48</v>
      </c>
      <c r="C36" t="b">
        <v>1</v>
      </c>
      <c r="D36">
        <v>5</v>
      </c>
      <c r="E36">
        <v>5</v>
      </c>
    </row>
    <row r="37" spans="1:5">
      <c r="A37" t="s">
        <v>134</v>
      </c>
      <c r="B37" t="s">
        <v>49</v>
      </c>
      <c r="C37" t="b">
        <v>0</v>
      </c>
      <c r="D37">
        <v>10</v>
      </c>
      <c r="E37">
        <v>0</v>
      </c>
    </row>
    <row r="38" spans="1:5">
      <c r="A38" t="s">
        <v>134</v>
      </c>
      <c r="B38" t="s">
        <v>50</v>
      </c>
      <c r="C38" t="b">
        <v>1</v>
      </c>
      <c r="D38">
        <v>6</v>
      </c>
      <c r="E38">
        <v>6</v>
      </c>
    </row>
    <row r="39" spans="1:5">
      <c r="A39" t="s">
        <v>134</v>
      </c>
      <c r="B39" t="s">
        <v>192</v>
      </c>
      <c r="C39" t="b">
        <v>1</v>
      </c>
      <c r="D39">
        <v>5</v>
      </c>
      <c r="E39">
        <v>5</v>
      </c>
    </row>
    <row r="40" spans="1:5">
      <c r="A40" t="s">
        <v>134</v>
      </c>
      <c r="B40" t="s">
        <v>193</v>
      </c>
      <c r="C40" t="b">
        <v>1</v>
      </c>
      <c r="D40">
        <v>5</v>
      </c>
      <c r="E40">
        <v>5</v>
      </c>
    </row>
    <row r="41" spans="1:5">
      <c r="A41" t="s">
        <v>134</v>
      </c>
      <c r="B41" t="s">
        <v>194</v>
      </c>
      <c r="C41" t="b">
        <v>1</v>
      </c>
      <c r="D41">
        <v>6</v>
      </c>
      <c r="E41">
        <v>6</v>
      </c>
    </row>
    <row r="42" spans="1:5">
      <c r="A42" t="s">
        <v>134</v>
      </c>
      <c r="B42" t="s">
        <v>195</v>
      </c>
      <c r="C42" t="b">
        <v>1</v>
      </c>
      <c r="D42">
        <v>6</v>
      </c>
      <c r="E42">
        <v>6</v>
      </c>
    </row>
    <row r="43" spans="1:5">
      <c r="A43" t="s">
        <v>134</v>
      </c>
      <c r="B43" t="s">
        <v>196</v>
      </c>
      <c r="C43" t="b">
        <v>1</v>
      </c>
      <c r="D43">
        <v>7</v>
      </c>
      <c r="E43">
        <v>7</v>
      </c>
    </row>
    <row r="44" spans="1:5">
      <c r="A44" t="s">
        <v>134</v>
      </c>
      <c r="B44" t="s">
        <v>197</v>
      </c>
      <c r="C44" t="b">
        <v>0</v>
      </c>
      <c r="D44">
        <v>10</v>
      </c>
      <c r="E44">
        <v>0</v>
      </c>
    </row>
    <row r="45" spans="1:5">
      <c r="A45" t="s">
        <v>134</v>
      </c>
      <c r="B45" t="s">
        <v>198</v>
      </c>
      <c r="C45" t="b">
        <v>1</v>
      </c>
      <c r="D45">
        <v>10</v>
      </c>
      <c r="E45">
        <v>10</v>
      </c>
    </row>
    <row r="46" spans="1:5">
      <c r="A46" t="s">
        <v>134</v>
      </c>
      <c r="B46" t="s">
        <v>199</v>
      </c>
      <c r="C46" t="b">
        <v>1</v>
      </c>
      <c r="D46">
        <v>10</v>
      </c>
      <c r="E46">
        <v>10</v>
      </c>
    </row>
    <row r="47" spans="1:5">
      <c r="A47" t="s">
        <v>134</v>
      </c>
      <c r="B47" t="s">
        <v>200</v>
      </c>
      <c r="C47" t="b">
        <v>1</v>
      </c>
      <c r="D47">
        <v>10</v>
      </c>
      <c r="E47">
        <v>10</v>
      </c>
    </row>
    <row r="48" spans="1:5">
      <c r="A48" t="s">
        <v>134</v>
      </c>
      <c r="B48" t="s">
        <v>201</v>
      </c>
      <c r="C48" t="b">
        <v>1</v>
      </c>
      <c r="D48">
        <v>6</v>
      </c>
      <c r="E48">
        <v>6</v>
      </c>
    </row>
    <row r="49" spans="1:5">
      <c r="A49" t="s">
        <v>134</v>
      </c>
      <c r="B49" t="s">
        <v>202</v>
      </c>
      <c r="C49" t="b">
        <v>1</v>
      </c>
      <c r="D49">
        <v>6</v>
      </c>
      <c r="E49">
        <v>6</v>
      </c>
    </row>
    <row r="50" spans="1:5">
      <c r="A50" t="s">
        <v>134</v>
      </c>
      <c r="B50" t="s">
        <v>203</v>
      </c>
      <c r="C50" t="b">
        <v>1</v>
      </c>
      <c r="D50">
        <v>6</v>
      </c>
      <c r="E50">
        <v>6</v>
      </c>
    </row>
    <row r="51" spans="1:5">
      <c r="A51" t="s">
        <v>134</v>
      </c>
      <c r="B51" t="s">
        <v>204</v>
      </c>
      <c r="C51" t="b">
        <v>1</v>
      </c>
      <c r="D51">
        <v>6</v>
      </c>
      <c r="E51">
        <v>6</v>
      </c>
    </row>
    <row r="52" spans="1:5">
      <c r="A52" t="s">
        <v>134</v>
      </c>
      <c r="B52" t="s">
        <v>205</v>
      </c>
      <c r="C52" t="b">
        <v>1</v>
      </c>
      <c r="D52">
        <v>6</v>
      </c>
      <c r="E52">
        <v>6</v>
      </c>
    </row>
    <row r="53" spans="1:5">
      <c r="A53" t="s">
        <v>134</v>
      </c>
      <c r="B53" t="s">
        <v>206</v>
      </c>
      <c r="C53" t="b">
        <v>1</v>
      </c>
      <c r="D53">
        <v>6</v>
      </c>
      <c r="E53">
        <v>6</v>
      </c>
    </row>
    <row r="54" spans="1:5">
      <c r="A54" t="s">
        <v>134</v>
      </c>
      <c r="B54" t="s">
        <v>207</v>
      </c>
      <c r="C54" t="b">
        <v>1</v>
      </c>
      <c r="D54">
        <v>6</v>
      </c>
      <c r="E54">
        <v>6</v>
      </c>
    </row>
    <row r="55" spans="1:5">
      <c r="A55" t="s">
        <v>134</v>
      </c>
      <c r="B55" t="s">
        <v>208</v>
      </c>
      <c r="C55" t="b">
        <v>1</v>
      </c>
      <c r="D55">
        <v>10</v>
      </c>
      <c r="E55">
        <v>10</v>
      </c>
    </row>
    <row r="56" spans="1:5">
      <c r="A56" t="s">
        <v>134</v>
      </c>
      <c r="B56" t="s">
        <v>237</v>
      </c>
      <c r="C56" t="b">
        <v>1</v>
      </c>
      <c r="D56">
        <v>46</v>
      </c>
      <c r="E56">
        <v>46</v>
      </c>
    </row>
    <row r="57" spans="1:5">
      <c r="A57" t="s">
        <v>134</v>
      </c>
      <c r="B57" t="s">
        <v>256</v>
      </c>
      <c r="C57" t="b">
        <v>0</v>
      </c>
      <c r="D57">
        <v>88</v>
      </c>
      <c r="E57">
        <v>68</v>
      </c>
    </row>
    <row r="58" spans="1:5">
      <c r="A58" t="s">
        <v>134</v>
      </c>
      <c r="B58" t="s">
        <v>269</v>
      </c>
      <c r="C58" t="b">
        <v>1</v>
      </c>
      <c r="D58">
        <v>72</v>
      </c>
      <c r="E58">
        <v>50</v>
      </c>
    </row>
    <row r="59" spans="1:5">
      <c r="A59" t="s">
        <v>134</v>
      </c>
      <c r="B59" t="s">
        <v>270</v>
      </c>
      <c r="C59" t="b">
        <v>1</v>
      </c>
      <c r="D59">
        <v>108</v>
      </c>
      <c r="E59">
        <v>22</v>
      </c>
    </row>
    <row r="60" spans="1:5">
      <c r="A60" t="s">
        <v>134</v>
      </c>
      <c r="B60" t="s">
        <v>209</v>
      </c>
      <c r="C60" t="b">
        <v>0</v>
      </c>
      <c r="D60">
        <v>206</v>
      </c>
      <c r="E60">
        <v>186</v>
      </c>
    </row>
  </sheetData>
  <sheetProtection algorithmName="SHA-512" hashValue="yT0Hd/fHNzlhSGmhZ1i+9NwjUq/yXwHlV1zuWSIGMsZpR4hdKlpl2zPstB/w5NXRm4DJUk9qTmVJBjGQsZ7tqw==" saltValue="Le6kWR3zCHlDApudPLsTAQ==" spinCount="100000" sheet="1" objects="1" scenarios="1" formatCells="0"/>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0"/>
  <sheetViews>
    <sheetView workbookViewId="0">
      <pane ySplit="1" topLeftCell="A39" activePane="bottomLeft" state="frozen"/>
      <selection sqref="A1:G1"/>
      <selection pane="bottomLeft" activeCell="A2" sqref="A2"/>
    </sheetView>
  </sheetViews>
  <sheetFormatPr defaultColWidth="9.1796875" defaultRowHeight="14.5"/>
  <cols>
    <col min="1" max="1" width="24.81640625" customWidth="1"/>
    <col min="2" max="2" width="19" customWidth="1"/>
    <col min="3" max="3" width="14.7265625" customWidth="1"/>
    <col min="4" max="4" width="16" customWidth="1"/>
    <col min="5" max="5" width="9.26953125" style="1"/>
    <col min="6" max="6" width="21.26953125" customWidth="1"/>
  </cols>
  <sheetData>
    <row r="1" spans="1:6" s="2" customFormat="1">
      <c r="A1" s="2" t="s">
        <v>7</v>
      </c>
      <c r="B1" s="2" t="s">
        <v>8</v>
      </c>
      <c r="C1" s="2" t="s">
        <v>9</v>
      </c>
      <c r="D1" s="2" t="s">
        <v>10</v>
      </c>
      <c r="E1" s="3"/>
      <c r="F1" s="2" t="s">
        <v>103</v>
      </c>
    </row>
    <row r="2" spans="1:6">
      <c r="A2" t="s">
        <v>11</v>
      </c>
      <c r="B2" t="s">
        <v>12</v>
      </c>
      <c r="C2" t="s">
        <v>275</v>
      </c>
      <c r="E2"/>
    </row>
    <row r="3" spans="1:6">
      <c r="A3" t="s">
        <v>13</v>
      </c>
      <c r="B3" t="s">
        <v>14</v>
      </c>
      <c r="C3" t="s">
        <v>276</v>
      </c>
      <c r="E3"/>
    </row>
    <row r="4" spans="1:6">
      <c r="A4" t="s">
        <v>15</v>
      </c>
      <c r="B4" t="s">
        <v>16</v>
      </c>
      <c r="C4" t="s">
        <v>277</v>
      </c>
      <c r="E4"/>
    </row>
    <row r="5" spans="1:6">
      <c r="A5" t="s">
        <v>17</v>
      </c>
      <c r="B5" t="s">
        <v>18</v>
      </c>
      <c r="C5" t="s">
        <v>278</v>
      </c>
      <c r="E5"/>
    </row>
    <row r="6" spans="1:6">
      <c r="A6" t="s">
        <v>91</v>
      </c>
      <c r="B6" t="s">
        <v>19</v>
      </c>
      <c r="C6" t="s">
        <v>279</v>
      </c>
      <c r="E6"/>
    </row>
    <row r="7" spans="1:6">
      <c r="B7" t="s">
        <v>20</v>
      </c>
      <c r="C7" t="s">
        <v>280</v>
      </c>
      <c r="E7"/>
    </row>
    <row r="8" spans="1:6">
      <c r="B8" t="s">
        <v>21</v>
      </c>
      <c r="C8" t="s">
        <v>281</v>
      </c>
      <c r="E8"/>
    </row>
    <row r="9" spans="1:6">
      <c r="B9" t="s">
        <v>22</v>
      </c>
      <c r="C9" t="s">
        <v>282</v>
      </c>
      <c r="E9"/>
    </row>
    <row r="10" spans="1:6">
      <c r="B10" t="s">
        <v>23</v>
      </c>
      <c r="C10" t="s">
        <v>283</v>
      </c>
      <c r="E10"/>
    </row>
    <row r="11" spans="1:6">
      <c r="B11" t="s">
        <v>24</v>
      </c>
      <c r="C11" t="s">
        <v>284</v>
      </c>
      <c r="E11"/>
    </row>
    <row r="12" spans="1:6">
      <c r="B12" t="s">
        <v>25</v>
      </c>
      <c r="C12" t="s">
        <v>285</v>
      </c>
      <c r="E12"/>
    </row>
    <row r="13" spans="1:6">
      <c r="B13" t="s">
        <v>26</v>
      </c>
      <c r="C13" t="s">
        <v>286</v>
      </c>
      <c r="E13"/>
    </row>
    <row r="14" spans="1:6">
      <c r="B14" t="s">
        <v>27</v>
      </c>
      <c r="C14" t="s">
        <v>287</v>
      </c>
      <c r="E14"/>
    </row>
    <row r="15" spans="1:6">
      <c r="B15" t="s">
        <v>28</v>
      </c>
      <c r="C15" t="s">
        <v>288</v>
      </c>
      <c r="E15"/>
    </row>
    <row r="16" spans="1:6">
      <c r="B16" t="s">
        <v>29</v>
      </c>
      <c r="C16" t="s">
        <v>289</v>
      </c>
      <c r="E16"/>
    </row>
    <row r="17" spans="2:5">
      <c r="B17" t="s">
        <v>30</v>
      </c>
      <c r="C17" t="s">
        <v>290</v>
      </c>
      <c r="E17"/>
    </row>
    <row r="18" spans="2:5">
      <c r="B18" t="s">
        <v>31</v>
      </c>
      <c r="C18" t="s">
        <v>291</v>
      </c>
      <c r="E18"/>
    </row>
    <row r="19" spans="2:5">
      <c r="B19" t="s">
        <v>32</v>
      </c>
      <c r="C19" t="s">
        <v>292</v>
      </c>
      <c r="E19"/>
    </row>
    <row r="20" spans="2:5">
      <c r="B20" t="s">
        <v>33</v>
      </c>
      <c r="C20" t="s">
        <v>293</v>
      </c>
      <c r="E20"/>
    </row>
    <row r="21" spans="2:5">
      <c r="B21" t="s">
        <v>238</v>
      </c>
      <c r="C21" t="s">
        <v>294</v>
      </c>
      <c r="E21"/>
    </row>
    <row r="22" spans="2:5">
      <c r="B22" t="s">
        <v>34</v>
      </c>
      <c r="C22" t="s">
        <v>295</v>
      </c>
      <c r="E22"/>
    </row>
    <row r="23" spans="2:5">
      <c r="B23" t="s">
        <v>35</v>
      </c>
      <c r="C23" t="s">
        <v>296</v>
      </c>
      <c r="E23"/>
    </row>
    <row r="24" spans="2:5">
      <c r="B24" t="s">
        <v>36</v>
      </c>
      <c r="C24" t="s">
        <v>297</v>
      </c>
      <c r="E24"/>
    </row>
    <row r="25" spans="2:5">
      <c r="B25" t="s">
        <v>37</v>
      </c>
      <c r="C25" t="s">
        <v>298</v>
      </c>
      <c r="E25"/>
    </row>
    <row r="26" spans="2:5">
      <c r="B26" t="s">
        <v>38</v>
      </c>
      <c r="C26" t="s">
        <v>299</v>
      </c>
      <c r="E26"/>
    </row>
    <row r="27" spans="2:5">
      <c r="B27" t="s">
        <v>39</v>
      </c>
      <c r="C27" t="s">
        <v>300</v>
      </c>
      <c r="E27"/>
    </row>
    <row r="28" spans="2:5">
      <c r="B28" t="s">
        <v>40</v>
      </c>
      <c r="C28" t="s">
        <v>301</v>
      </c>
      <c r="E28"/>
    </row>
    <row r="29" spans="2:5">
      <c r="B29" t="s">
        <v>41</v>
      </c>
      <c r="C29" t="s">
        <v>272</v>
      </c>
      <c r="D29" t="s">
        <v>272</v>
      </c>
    </row>
    <row r="30" spans="2:5">
      <c r="B30" t="s">
        <v>42</v>
      </c>
      <c r="C30" t="s">
        <v>273</v>
      </c>
      <c r="D30" t="s">
        <v>273</v>
      </c>
    </row>
    <row r="31" spans="2:5">
      <c r="B31" t="s">
        <v>43</v>
      </c>
      <c r="C31" t="s">
        <v>54</v>
      </c>
      <c r="D31" t="s">
        <v>54</v>
      </c>
    </row>
    <row r="32" spans="2:5">
      <c r="B32" t="s">
        <v>44</v>
      </c>
      <c r="C32" t="s">
        <v>239</v>
      </c>
      <c r="D32" t="s">
        <v>239</v>
      </c>
    </row>
    <row r="33" spans="2:4">
      <c r="B33" t="s">
        <v>45</v>
      </c>
      <c r="C33" t="s">
        <v>124</v>
      </c>
      <c r="D33" t="s">
        <v>124</v>
      </c>
    </row>
    <row r="34" spans="2:4">
      <c r="B34" t="s">
        <v>46</v>
      </c>
      <c r="C34" t="s">
        <v>125</v>
      </c>
      <c r="D34" t="s">
        <v>125</v>
      </c>
    </row>
    <row r="35" spans="2:4">
      <c r="B35" t="s">
        <v>47</v>
      </c>
      <c r="C35" t="s">
        <v>240</v>
      </c>
      <c r="D35" t="s">
        <v>240</v>
      </c>
    </row>
    <row r="36" spans="2:4">
      <c r="B36" t="s">
        <v>48</v>
      </c>
      <c r="C36" t="s">
        <v>241</v>
      </c>
      <c r="D36" t="s">
        <v>241</v>
      </c>
    </row>
    <row r="37" spans="2:4">
      <c r="B37" t="s">
        <v>49</v>
      </c>
      <c r="C37" t="s">
        <v>242</v>
      </c>
      <c r="D37" t="s">
        <v>242</v>
      </c>
    </row>
    <row r="38" spans="2:4">
      <c r="B38" t="s">
        <v>50</v>
      </c>
      <c r="C38" t="s">
        <v>126</v>
      </c>
      <c r="D38" t="s">
        <v>126</v>
      </c>
    </row>
    <row r="39" spans="2:4">
      <c r="B39" t="s">
        <v>192</v>
      </c>
      <c r="C39" t="s">
        <v>127</v>
      </c>
      <c r="D39" t="s">
        <v>127</v>
      </c>
    </row>
    <row r="40" spans="2:4">
      <c r="B40" t="s">
        <v>193</v>
      </c>
      <c r="C40" t="s">
        <v>243</v>
      </c>
      <c r="D40" t="s">
        <v>243</v>
      </c>
    </row>
    <row r="41" spans="2:4">
      <c r="B41" t="s">
        <v>194</v>
      </c>
      <c r="C41" t="s">
        <v>244</v>
      </c>
      <c r="D41" t="s">
        <v>244</v>
      </c>
    </row>
    <row r="42" spans="2:4">
      <c r="B42" t="s">
        <v>195</v>
      </c>
      <c r="C42" t="s">
        <v>245</v>
      </c>
      <c r="D42" t="s">
        <v>245</v>
      </c>
    </row>
    <row r="43" spans="2:4">
      <c r="B43" t="s">
        <v>196</v>
      </c>
      <c r="C43" t="s">
        <v>246</v>
      </c>
      <c r="D43" t="s">
        <v>246</v>
      </c>
    </row>
    <row r="44" spans="2:4">
      <c r="B44" t="s">
        <v>197</v>
      </c>
      <c r="C44" t="s">
        <v>56</v>
      </c>
      <c r="D44" t="s">
        <v>56</v>
      </c>
    </row>
    <row r="45" spans="2:4">
      <c r="B45" t="s">
        <v>198</v>
      </c>
      <c r="C45" t="s">
        <v>128</v>
      </c>
      <c r="D45" t="s">
        <v>128</v>
      </c>
    </row>
    <row r="46" spans="2:4">
      <c r="B46" t="s">
        <v>199</v>
      </c>
      <c r="C46" t="s">
        <v>129</v>
      </c>
      <c r="D46" t="s">
        <v>129</v>
      </c>
    </row>
    <row r="47" spans="2:4">
      <c r="B47" t="s">
        <v>200</v>
      </c>
      <c r="C47" t="s">
        <v>247</v>
      </c>
      <c r="D47" t="s">
        <v>247</v>
      </c>
    </row>
    <row r="48" spans="2:4">
      <c r="B48" t="s">
        <v>201</v>
      </c>
      <c r="C48" t="s">
        <v>248</v>
      </c>
      <c r="D48" t="s">
        <v>248</v>
      </c>
    </row>
    <row r="49" spans="2:4">
      <c r="B49" t="s">
        <v>202</v>
      </c>
      <c r="C49" t="s">
        <v>249</v>
      </c>
      <c r="D49" t="s">
        <v>249</v>
      </c>
    </row>
    <row r="50" spans="2:4">
      <c r="B50" t="s">
        <v>203</v>
      </c>
      <c r="C50" t="s">
        <v>250</v>
      </c>
      <c r="D50" t="s">
        <v>250</v>
      </c>
    </row>
    <row r="51" spans="2:4">
      <c r="B51" t="s">
        <v>204</v>
      </c>
      <c r="C51" t="s">
        <v>251</v>
      </c>
      <c r="D51" t="s">
        <v>251</v>
      </c>
    </row>
    <row r="52" spans="2:4">
      <c r="B52" t="s">
        <v>205</v>
      </c>
      <c r="C52" t="s">
        <v>252</v>
      </c>
      <c r="D52" t="s">
        <v>252</v>
      </c>
    </row>
    <row r="53" spans="2:4">
      <c r="B53" t="s">
        <v>206</v>
      </c>
      <c r="C53" t="s">
        <v>253</v>
      </c>
      <c r="D53" t="s">
        <v>253</v>
      </c>
    </row>
    <row r="54" spans="2:4">
      <c r="B54" t="s">
        <v>207</v>
      </c>
      <c r="C54" t="s">
        <v>254</v>
      </c>
      <c r="D54" t="s">
        <v>254</v>
      </c>
    </row>
    <row r="55" spans="2:4">
      <c r="B55" t="s">
        <v>208</v>
      </c>
      <c r="C55" t="s">
        <v>255</v>
      </c>
      <c r="D55" t="s">
        <v>255</v>
      </c>
    </row>
    <row r="56" spans="2:4">
      <c r="B56" t="s">
        <v>237</v>
      </c>
      <c r="C56" t="s">
        <v>302</v>
      </c>
    </row>
    <row r="57" spans="2:4">
      <c r="B57" t="s">
        <v>256</v>
      </c>
      <c r="C57" t="s">
        <v>303</v>
      </c>
    </row>
    <row r="58" spans="2:4">
      <c r="B58" t="s">
        <v>269</v>
      </c>
      <c r="C58" t="s">
        <v>304</v>
      </c>
    </row>
    <row r="59" spans="2:4">
      <c r="B59" t="s">
        <v>270</v>
      </c>
      <c r="C59" t="s">
        <v>305</v>
      </c>
    </row>
    <row r="60" spans="2:4">
      <c r="B60" t="s">
        <v>209</v>
      </c>
      <c r="C60" t="s">
        <v>306</v>
      </c>
    </row>
  </sheetData>
  <sheetProtection algorithmName="SHA-512" hashValue="JHeZWpBZuem2UNkkSGF7fHJB74B9dptkUYqHe0yaYTCcjdfhVctfrc1q5++ls/CHgqzEqmSayWdOCvVEosNIdA==" saltValue="gR5Vs5Slt7MDCy8rx5hpzg==" spinCount="100000" sheet="1" objects="1" scenarios="1" formatCells="0"/>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0"/>
  <sheetViews>
    <sheetView topLeftCell="A48" workbookViewId="0">
      <selection activeCell="I9" sqref="I9"/>
    </sheetView>
  </sheetViews>
  <sheetFormatPr defaultColWidth="9.26953125" defaultRowHeight="14.5"/>
  <cols>
    <col min="1" max="1" width="13.26953125" style="111" customWidth="1"/>
    <col min="2" max="2" width="18.7265625" customWidth="1"/>
    <col min="3" max="3" width="18.26953125" customWidth="1"/>
    <col min="4" max="16384" width="9.26953125" style="109"/>
  </cols>
  <sheetData>
    <row r="1" spans="1:3">
      <c r="A1" s="111" t="s">
        <v>131</v>
      </c>
      <c r="B1" t="s">
        <v>132</v>
      </c>
      <c r="C1" t="s">
        <v>133</v>
      </c>
    </row>
    <row r="2" spans="1:3">
      <c r="A2" s="111">
        <v>25076044</v>
      </c>
      <c r="B2" t="s">
        <v>263</v>
      </c>
      <c r="C2" t="s">
        <v>260</v>
      </c>
    </row>
    <row r="3" spans="1:3">
      <c r="A3" s="111">
        <v>25076044</v>
      </c>
      <c r="B3" t="s">
        <v>264</v>
      </c>
      <c r="C3">
        <v>2014</v>
      </c>
    </row>
    <row r="4" spans="1:3">
      <c r="A4" s="111">
        <v>25076044</v>
      </c>
      <c r="B4" t="s">
        <v>12</v>
      </c>
      <c r="C4" t="s">
        <v>0</v>
      </c>
    </row>
    <row r="5" spans="1:3">
      <c r="A5" s="111">
        <v>25076044</v>
      </c>
      <c r="B5" t="s">
        <v>14</v>
      </c>
      <c r="C5" t="s">
        <v>0</v>
      </c>
    </row>
    <row r="6" spans="1:3">
      <c r="A6" s="111">
        <v>25076044</v>
      </c>
      <c r="B6" t="s">
        <v>16</v>
      </c>
      <c r="C6" t="s">
        <v>0</v>
      </c>
    </row>
    <row r="7" spans="1:3">
      <c r="A7" s="111">
        <v>25076044</v>
      </c>
      <c r="B7" t="s">
        <v>18</v>
      </c>
      <c r="C7" t="s">
        <v>0</v>
      </c>
    </row>
    <row r="8" spans="1:3">
      <c r="A8" s="111">
        <v>25076044</v>
      </c>
      <c r="B8" t="s">
        <v>19</v>
      </c>
      <c r="C8" t="s">
        <v>0</v>
      </c>
    </row>
    <row r="9" spans="1:3">
      <c r="A9" s="111">
        <v>25076044</v>
      </c>
      <c r="B9" t="s">
        <v>20</v>
      </c>
      <c r="C9" t="s">
        <v>0</v>
      </c>
    </row>
    <row r="10" spans="1:3">
      <c r="A10" s="111">
        <v>25076044</v>
      </c>
      <c r="B10" t="s">
        <v>21</v>
      </c>
      <c r="C10" t="s">
        <v>2</v>
      </c>
    </row>
    <row r="11" spans="1:3">
      <c r="A11" s="111">
        <v>25076044</v>
      </c>
      <c r="B11" t="s">
        <v>22</v>
      </c>
      <c r="C11" t="s">
        <v>0</v>
      </c>
    </row>
    <row r="12" spans="1:3">
      <c r="A12" s="111">
        <v>25076044</v>
      </c>
      <c r="B12" t="s">
        <v>23</v>
      </c>
      <c r="C12" t="s">
        <v>2</v>
      </c>
    </row>
    <row r="13" spans="1:3">
      <c r="A13" s="111">
        <v>25076044</v>
      </c>
      <c r="B13" t="s">
        <v>24</v>
      </c>
      <c r="C13" t="s">
        <v>0</v>
      </c>
    </row>
    <row r="14" spans="1:3">
      <c r="A14" s="111">
        <v>25076044</v>
      </c>
      <c r="B14" t="s">
        <v>25</v>
      </c>
      <c r="C14" t="s">
        <v>0</v>
      </c>
    </row>
    <row r="15" spans="1:3">
      <c r="A15" s="111">
        <v>25076044</v>
      </c>
      <c r="B15" t="s">
        <v>26</v>
      </c>
      <c r="C15" t="s">
        <v>0</v>
      </c>
    </row>
    <row r="16" spans="1:3">
      <c r="A16" s="111">
        <v>25076044</v>
      </c>
      <c r="B16" t="s">
        <v>27</v>
      </c>
      <c r="C16" t="s">
        <v>0</v>
      </c>
    </row>
    <row r="17" spans="1:3">
      <c r="A17" s="111">
        <v>25076044</v>
      </c>
      <c r="B17" t="s">
        <v>28</v>
      </c>
      <c r="C17" t="s">
        <v>0</v>
      </c>
    </row>
    <row r="18" spans="1:3">
      <c r="A18" s="111">
        <v>25076044</v>
      </c>
      <c r="B18" t="s">
        <v>29</v>
      </c>
      <c r="C18" t="s">
        <v>2</v>
      </c>
    </row>
    <row r="19" spans="1:3">
      <c r="A19" s="111">
        <v>25076044</v>
      </c>
      <c r="B19" t="s">
        <v>30</v>
      </c>
      <c r="C19" t="s">
        <v>2</v>
      </c>
    </row>
    <row r="20" spans="1:3">
      <c r="A20" s="111">
        <v>25076044</v>
      </c>
      <c r="B20" t="s">
        <v>31</v>
      </c>
      <c r="C20" t="s">
        <v>0</v>
      </c>
    </row>
    <row r="21" spans="1:3">
      <c r="A21" s="111">
        <v>25076044</v>
      </c>
      <c r="B21" t="s">
        <v>32</v>
      </c>
      <c r="C21" t="s">
        <v>0</v>
      </c>
    </row>
    <row r="22" spans="1:3">
      <c r="A22" s="111">
        <v>25076044</v>
      </c>
      <c r="B22" t="s">
        <v>33</v>
      </c>
      <c r="C22" t="s">
        <v>0</v>
      </c>
    </row>
    <row r="23" spans="1:3">
      <c r="A23" s="111">
        <v>25076044</v>
      </c>
      <c r="B23" t="s">
        <v>238</v>
      </c>
      <c r="C23" t="s">
        <v>0</v>
      </c>
    </row>
    <row r="24" spans="1:3">
      <c r="A24" s="111">
        <v>25076044</v>
      </c>
      <c r="B24" t="s">
        <v>34</v>
      </c>
      <c r="C24" t="s">
        <v>0</v>
      </c>
    </row>
    <row r="25" spans="1:3">
      <c r="A25" s="111">
        <v>25076044</v>
      </c>
      <c r="B25" t="s">
        <v>35</v>
      </c>
      <c r="C25" t="s">
        <v>0</v>
      </c>
    </row>
    <row r="26" spans="1:3">
      <c r="A26" s="111">
        <v>25076044</v>
      </c>
      <c r="B26" t="s">
        <v>36</v>
      </c>
      <c r="C26" t="s">
        <v>0</v>
      </c>
    </row>
    <row r="27" spans="1:3">
      <c r="A27" s="111">
        <v>25076044</v>
      </c>
      <c r="B27" t="s">
        <v>37</v>
      </c>
      <c r="C27" t="s">
        <v>0</v>
      </c>
    </row>
    <row r="28" spans="1:3">
      <c r="A28" s="111">
        <v>25076044</v>
      </c>
      <c r="B28" t="s">
        <v>38</v>
      </c>
      <c r="C28" t="s">
        <v>2</v>
      </c>
    </row>
    <row r="29" spans="1:3">
      <c r="A29" s="111">
        <v>25076044</v>
      </c>
      <c r="B29" t="s">
        <v>39</v>
      </c>
      <c r="C29" t="s">
        <v>0</v>
      </c>
    </row>
    <row r="30" spans="1:3">
      <c r="A30" s="111">
        <v>25076044</v>
      </c>
      <c r="B30" t="s">
        <v>40</v>
      </c>
      <c r="C30" t="s">
        <v>0</v>
      </c>
    </row>
    <row r="31" spans="1:3">
      <c r="A31" s="111">
        <v>25076044</v>
      </c>
      <c r="B31" t="s">
        <v>237</v>
      </c>
      <c r="C31" s="143">
        <v>1</v>
      </c>
    </row>
    <row r="32" spans="1:3">
      <c r="A32" s="111">
        <v>25076044</v>
      </c>
      <c r="B32" t="s">
        <v>256</v>
      </c>
      <c r="C32" s="143">
        <v>0.77</v>
      </c>
    </row>
    <row r="33" spans="1:3">
      <c r="A33" s="111">
        <v>25076044</v>
      </c>
      <c r="B33" t="s">
        <v>259</v>
      </c>
      <c r="C33" s="143">
        <v>1</v>
      </c>
    </row>
    <row r="34" spans="1:3">
      <c r="A34" s="111">
        <v>25076044</v>
      </c>
      <c r="B34" t="s">
        <v>209</v>
      </c>
      <c r="C34" s="143">
        <v>0.9</v>
      </c>
    </row>
    <row r="35" spans="1:3">
      <c r="A35" s="111">
        <v>25076044</v>
      </c>
      <c r="B35" t="s">
        <v>269</v>
      </c>
      <c r="C35" s="143">
        <v>0.69</v>
      </c>
    </row>
    <row r="36" spans="1:3">
      <c r="A36" s="111">
        <v>25076044</v>
      </c>
      <c r="B36" t="s">
        <v>270</v>
      </c>
      <c r="C36" s="143">
        <v>0.2</v>
      </c>
    </row>
    <row r="37" spans="1:3">
      <c r="A37" s="111">
        <v>25989337</v>
      </c>
      <c r="B37" t="s">
        <v>263</v>
      </c>
      <c r="C37" t="s">
        <v>274</v>
      </c>
    </row>
    <row r="38" spans="1:3">
      <c r="A38" s="111">
        <v>25989337</v>
      </c>
      <c r="B38" t="s">
        <v>264</v>
      </c>
      <c r="C38">
        <v>2015</v>
      </c>
    </row>
    <row r="39" spans="1:3">
      <c r="A39" s="111">
        <v>25989337</v>
      </c>
      <c r="B39" t="s">
        <v>12</v>
      </c>
      <c r="C39" t="s">
        <v>0</v>
      </c>
    </row>
    <row r="40" spans="1:3">
      <c r="A40" s="111">
        <v>25989337</v>
      </c>
      <c r="B40" t="s">
        <v>14</v>
      </c>
      <c r="C40" t="s">
        <v>0</v>
      </c>
    </row>
    <row r="41" spans="1:3">
      <c r="A41" s="111">
        <v>25989337</v>
      </c>
      <c r="B41" t="s">
        <v>16</v>
      </c>
      <c r="C41" t="s">
        <v>0</v>
      </c>
    </row>
    <row r="42" spans="1:3">
      <c r="A42" s="111">
        <v>25989337</v>
      </c>
      <c r="B42" t="s">
        <v>18</v>
      </c>
      <c r="C42" t="s">
        <v>0</v>
      </c>
    </row>
    <row r="43" spans="1:3">
      <c r="A43" s="111">
        <v>25989337</v>
      </c>
      <c r="B43" t="s">
        <v>19</v>
      </c>
      <c r="C43" t="s">
        <v>0</v>
      </c>
    </row>
    <row r="44" spans="1:3">
      <c r="A44" s="111">
        <v>25989337</v>
      </c>
      <c r="B44" t="s">
        <v>20</v>
      </c>
      <c r="C44" t="s">
        <v>0</v>
      </c>
    </row>
    <row r="45" spans="1:3">
      <c r="A45" s="111">
        <v>25989337</v>
      </c>
      <c r="B45" t="s">
        <v>21</v>
      </c>
      <c r="C45" t="s">
        <v>0</v>
      </c>
    </row>
    <row r="46" spans="1:3">
      <c r="A46" s="111">
        <v>25989337</v>
      </c>
      <c r="B46" t="s">
        <v>22</v>
      </c>
      <c r="C46" t="s">
        <v>0</v>
      </c>
    </row>
    <row r="47" spans="1:3">
      <c r="A47" s="111">
        <v>25989337</v>
      </c>
      <c r="B47" t="s">
        <v>23</v>
      </c>
      <c r="C47" t="s">
        <v>0</v>
      </c>
    </row>
    <row r="48" spans="1:3">
      <c r="A48" s="111">
        <v>25989337</v>
      </c>
      <c r="B48" t="s">
        <v>24</v>
      </c>
      <c r="C48" t="s">
        <v>0</v>
      </c>
    </row>
    <row r="49" spans="1:3">
      <c r="A49" s="111">
        <v>25989337</v>
      </c>
      <c r="B49" t="s">
        <v>25</v>
      </c>
      <c r="C49" t="s">
        <v>0</v>
      </c>
    </row>
    <row r="50" spans="1:3">
      <c r="A50" s="111">
        <v>25989337</v>
      </c>
      <c r="B50" t="s">
        <v>26</v>
      </c>
      <c r="C50" t="s">
        <v>0</v>
      </c>
    </row>
    <row r="51" spans="1:3">
      <c r="A51" s="111">
        <v>25989337</v>
      </c>
      <c r="B51" t="s">
        <v>27</v>
      </c>
      <c r="C51" t="s">
        <v>0</v>
      </c>
    </row>
    <row r="52" spans="1:3">
      <c r="A52" s="111">
        <v>25989337</v>
      </c>
      <c r="B52" t="s">
        <v>28</v>
      </c>
      <c r="C52" t="s">
        <v>0</v>
      </c>
    </row>
    <row r="53" spans="1:3">
      <c r="A53" s="111">
        <v>25989337</v>
      </c>
      <c r="B53" t="s">
        <v>29</v>
      </c>
      <c r="C53" t="s">
        <v>0</v>
      </c>
    </row>
    <row r="54" spans="1:3">
      <c r="A54" s="111">
        <v>25989337</v>
      </c>
      <c r="B54" t="s">
        <v>30</v>
      </c>
      <c r="C54" t="s">
        <v>0</v>
      </c>
    </row>
    <row r="55" spans="1:3">
      <c r="A55" s="111">
        <v>25989337</v>
      </c>
      <c r="B55" t="s">
        <v>31</v>
      </c>
      <c r="C55" t="s">
        <v>0</v>
      </c>
    </row>
    <row r="56" spans="1:3">
      <c r="A56" s="111">
        <v>25989337</v>
      </c>
      <c r="B56" t="s">
        <v>32</v>
      </c>
      <c r="C56" t="s">
        <v>0</v>
      </c>
    </row>
    <row r="57" spans="1:3">
      <c r="A57" s="111">
        <v>25989337</v>
      </c>
      <c r="B57" t="s">
        <v>33</v>
      </c>
      <c r="C57" t="s">
        <v>0</v>
      </c>
    </row>
    <row r="58" spans="1:3">
      <c r="A58" s="111">
        <v>25989337</v>
      </c>
      <c r="B58" t="s">
        <v>238</v>
      </c>
      <c r="C58" t="s">
        <v>0</v>
      </c>
    </row>
    <row r="59" spans="1:3">
      <c r="A59" s="111">
        <v>25989337</v>
      </c>
      <c r="B59" t="s">
        <v>34</v>
      </c>
      <c r="C59" t="s">
        <v>0</v>
      </c>
    </row>
    <row r="60" spans="1:3">
      <c r="A60" s="111">
        <v>25989337</v>
      </c>
      <c r="B60" t="s">
        <v>35</v>
      </c>
      <c r="C60" t="s">
        <v>0</v>
      </c>
    </row>
    <row r="61" spans="1:3">
      <c r="A61" s="111">
        <v>25989337</v>
      </c>
      <c r="B61" t="s">
        <v>36</v>
      </c>
      <c r="C61" t="s">
        <v>0</v>
      </c>
    </row>
    <row r="62" spans="1:3">
      <c r="A62" s="111">
        <v>25989337</v>
      </c>
      <c r="B62" t="s">
        <v>37</v>
      </c>
      <c r="C62" t="s">
        <v>0</v>
      </c>
    </row>
    <row r="63" spans="1:3">
      <c r="A63" s="111">
        <v>25989337</v>
      </c>
      <c r="B63" t="s">
        <v>38</v>
      </c>
      <c r="C63" t="s">
        <v>0</v>
      </c>
    </row>
    <row r="64" spans="1:3">
      <c r="A64" s="111">
        <v>25989337</v>
      </c>
      <c r="B64" t="s">
        <v>39</v>
      </c>
      <c r="C64" t="s">
        <v>0</v>
      </c>
    </row>
    <row r="65" spans="1:3">
      <c r="A65" s="111">
        <v>25989337</v>
      </c>
      <c r="B65" t="s">
        <v>40</v>
      </c>
      <c r="C65" t="s">
        <v>0</v>
      </c>
    </row>
    <row r="66" spans="1:3">
      <c r="A66" s="111">
        <v>25989337</v>
      </c>
      <c r="B66" t="s">
        <v>237</v>
      </c>
      <c r="C66" s="143">
        <v>1</v>
      </c>
    </row>
    <row r="67" spans="1:3">
      <c r="A67" s="111">
        <v>25989337</v>
      </c>
      <c r="B67" t="s">
        <v>256</v>
      </c>
      <c r="C67" s="143">
        <v>1</v>
      </c>
    </row>
    <row r="68" spans="1:3">
      <c r="A68" s="111">
        <v>25989337</v>
      </c>
      <c r="B68" t="s">
        <v>269</v>
      </c>
      <c r="C68" s="143">
        <v>0.69</v>
      </c>
    </row>
    <row r="69" spans="1:3">
      <c r="A69" s="111">
        <v>25989337</v>
      </c>
      <c r="B69" t="s">
        <v>270</v>
      </c>
      <c r="C69" s="143">
        <v>0.2</v>
      </c>
    </row>
    <row r="70" spans="1:3">
      <c r="A70" s="111">
        <v>25989337</v>
      </c>
      <c r="B70" t="s">
        <v>209</v>
      </c>
      <c r="C70" s="143">
        <v>1</v>
      </c>
    </row>
  </sheetData>
  <sheetProtection algorithmName="SHA-512" hashValue="QxSdZn5fj3CpVT3f2D6P88aX5ezd3qlHjcRPLQ38e6xhy3UtDS8RgercdIg4WGnj3oLsS0bDiaSn4NmhtMt/Jw==" saltValue="BPbqpd9jHShoa29AfSOwOA==" spinCount="100000" sheet="1" objects="1" scenarios="1" formatCells="0"/>
  <phoneticPr fontId="5"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sqref="A1:G1"/>
    </sheetView>
  </sheetViews>
  <sheetFormatPr defaultColWidth="9.1796875" defaultRowHeight="14.5"/>
  <sheetData/>
  <sheetProtection algorithmName="SHA-512" hashValue="ODE8OF8wcoSKIZp4QsE1QNMrHaJ01JXNSFULuMVlnGPfMt+Is1vDDy5704EhWeiPhM0BPrsVlQvMcng0IFMc8w==" saltValue="L0a8WP8H5IKChZzeBx+E4g==" spinCount="100000" sheet="1" objects="1" scenarios="1"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Checklist</vt:lpstr>
      <vt:lpstr>InputOptions</vt:lpstr>
      <vt:lpstr>QtyScoreRule</vt:lpstr>
      <vt:lpstr>MainMenu</vt:lpstr>
      <vt:lpstr>RuleStore</vt:lpstr>
      <vt:lpstr>RuleResultStore</vt:lpstr>
      <vt:lpstr>ResultMetadata</vt:lpstr>
      <vt:lpstr>RuleMetadata</vt:lpstr>
      <vt:lpstr>PaperReviewStore</vt:lpstr>
      <vt:lpstr>Sheet1</vt:lpstr>
      <vt:lpstr>item1</vt:lpstr>
      <vt:lpstr>item10</vt:lpstr>
      <vt:lpstr>item11</vt:lpstr>
      <vt:lpstr>item12</vt:lpstr>
      <vt:lpstr>item13</vt:lpstr>
      <vt:lpstr>item14</vt:lpstr>
      <vt:lpstr>item15</vt:lpstr>
      <vt:lpstr>item16</vt:lpstr>
      <vt:lpstr>item17</vt:lpstr>
      <vt:lpstr>item18</vt:lpstr>
      <vt:lpstr>item19</vt:lpstr>
      <vt:lpstr>item2</vt:lpstr>
      <vt:lpstr>item20</vt:lpstr>
      <vt:lpstr>item21</vt:lpstr>
      <vt:lpstr>item22</vt:lpstr>
      <vt:lpstr>item23</vt:lpstr>
      <vt:lpstr>item24</vt:lpstr>
      <vt:lpstr>item25</vt:lpstr>
      <vt:lpstr>item26</vt:lpstr>
      <vt:lpstr>item27</vt:lpstr>
      <vt:lpstr>item3</vt:lpstr>
      <vt:lpstr>item30</vt:lpstr>
      <vt:lpstr>item31</vt:lpstr>
      <vt:lpstr>item32</vt:lpstr>
      <vt:lpstr>item33</vt:lpstr>
      <vt:lpstr>item34</vt:lpstr>
      <vt:lpstr>item35</vt:lpstr>
      <vt:lpstr>item36</vt:lpstr>
      <vt:lpstr>item37</vt:lpstr>
      <vt:lpstr>item38</vt:lpstr>
      <vt:lpstr>item39</vt:lpstr>
      <vt:lpstr>item4</vt:lpstr>
      <vt:lpstr>item41</vt:lpstr>
      <vt:lpstr>item42</vt:lpstr>
      <vt:lpstr>item5</vt:lpstr>
      <vt:lpstr>item6</vt:lpstr>
      <vt:lpstr>item7</vt:lpstr>
      <vt:lpstr>item8</vt:lpstr>
      <vt:lpstr>item9</vt:lpstr>
      <vt:lpstr>listOfYear</vt:lpstr>
    </vt:vector>
  </TitlesOfParts>
  <Company>University of Manchester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florezo</dc:creator>
  <cp:lastModifiedBy>florezo</cp:lastModifiedBy>
  <cp:lastPrinted>2014-10-02T14:48:31Z</cp:lastPrinted>
  <dcterms:created xsi:type="dcterms:W3CDTF">2014-03-25T11:04:11Z</dcterms:created>
  <dcterms:modified xsi:type="dcterms:W3CDTF">2015-11-17T17:14:31Z</dcterms:modified>
</cp:coreProperties>
</file>