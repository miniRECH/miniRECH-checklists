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orezo\Documents\University of Manchester\Computer Science PhD\ThesisProject\Checklist\"/>
    </mc:Choice>
  </mc:AlternateContent>
  <bookViews>
    <workbookView xWindow="5370" yWindow="-90" windowWidth="15600" windowHeight="9240" tabRatio="508" firstSheet="4" activeTab="4"/>
  </bookViews>
  <sheets>
    <sheet name="RuleResultStore" sheetId="8" state="hidden" r:id="rId1"/>
    <sheet name="InputOptions" sheetId="4" state="hidden" r:id="rId2"/>
    <sheet name="QtyScoreRule" sheetId="13" state="hidden" r:id="rId3"/>
    <sheet name="MainMenu" sheetId="12" state="hidden" r:id="rId4"/>
    <sheet name="Checklist" sheetId="3" r:id="rId5"/>
    <sheet name="RuleStore" sheetId="6" state="hidden" r:id="rId6"/>
    <sheet name="ResultMetadata" sheetId="9" state="hidden" r:id="rId7"/>
    <sheet name="RuleMetadata" sheetId="7" state="hidden" r:id="rId8"/>
    <sheet name="PaperReviewStore" sheetId="10" state="hidden" r:id="rId9"/>
    <sheet name="Sheet1" sheetId="14" state="hidden" r:id="rId10"/>
  </sheets>
  <functionGroups builtInGroupCount="18"/>
  <definedNames>
    <definedName name="item1">InputOptions!$E$4:$E$5</definedName>
    <definedName name="item10">InputOptions!$N$4:$N$6</definedName>
    <definedName name="item11">InputOptions!$O$4:$O$6</definedName>
    <definedName name="item12">InputOptions!$P$4:$P$6</definedName>
    <definedName name="item13">InputOptions!$Q$4:$Q$6</definedName>
    <definedName name="item14">InputOptions!$R$4:$R$6</definedName>
    <definedName name="item15">InputOptions!$S$4:$S$5</definedName>
    <definedName name="item16">InputOptions!$T$4:$T$6</definedName>
    <definedName name="item17">InputOptions!$U$4:$U$6</definedName>
    <definedName name="item18">InputOptions!$V$4:$V$6</definedName>
    <definedName name="item19">InputOptions!$W$4:$W$6</definedName>
    <definedName name="item2">InputOptions!$F$4:$F$5</definedName>
    <definedName name="item201">InputOptions!$X$4:$X$6</definedName>
    <definedName name="item202">InputOptions!$Y$4:$Y$6</definedName>
    <definedName name="item203">InputOptions!$Z$4:$Z$6</definedName>
    <definedName name="item204">InputOptions!$AA$4:$AA$6</definedName>
    <definedName name="item205">InputOptions!$AB$4:$AB$6</definedName>
    <definedName name="item206">InputOptions!$AC$4:$AC$6</definedName>
    <definedName name="item21">InputOptions!$AD$4:$AD$6</definedName>
    <definedName name="item22">InputOptions!$AE$4:$AE$6</definedName>
    <definedName name="item23">InputOptions!$AF$4:$AF$6</definedName>
    <definedName name="item24">InputOptions!$AG$4:$AG$6</definedName>
    <definedName name="item25">InputOptions!$AH$4:$AH$6</definedName>
    <definedName name="item26">InputOptions!$AI$4:$AI$6</definedName>
    <definedName name="item27">InputOptions!$AJ$4:$AJ$6</definedName>
    <definedName name="item28">InputOptions!$AK$4:$AK$6</definedName>
    <definedName name="item29">InputOptions!$AL$4:$AL$6</definedName>
    <definedName name="item3">InputOptions!$G$4:$G$5</definedName>
    <definedName name="item30">InputOptions!$AM$4:$AM$6</definedName>
    <definedName name="item31">InputOptions!$AN$4:$AN$6</definedName>
    <definedName name="item32">InputOptions!$AO$4:$AO$6</definedName>
    <definedName name="item33">InputOptions!$AP$4:$AP$6</definedName>
    <definedName name="item34">InputOptions!$AQ$4:$AQ$6</definedName>
    <definedName name="item35">InputOptions!$AR$4:$AR$6</definedName>
    <definedName name="item36">InputOptions!$AS$4:$AS$6</definedName>
    <definedName name="item37">InputOptions!$AT$4:$AT$6</definedName>
    <definedName name="item38">InputOptions!$AU$4:$AU$6</definedName>
    <definedName name="item39">InputOptions!$AV$4:$AV$6</definedName>
    <definedName name="item4">InputOptions!$H$4:$H$6</definedName>
    <definedName name="item40">InputOptions!$AW$4:$AW$5</definedName>
    <definedName name="item41">InputOptions!$AX$4:$AX$5</definedName>
    <definedName name="item42">InputOptions!$AY$4:$AY$5</definedName>
    <definedName name="item5">InputOptions!$I$4:$I$6</definedName>
    <definedName name="item6">InputOptions!$J$4:$J$6</definedName>
    <definedName name="item7">InputOptions!$K$4:$K$6</definedName>
    <definedName name="item8">InputOptions!$L$4:$L$6</definedName>
    <definedName name="item9">InputOptions!$M$4:$M$6</definedName>
    <definedName name="listOfDisease">InputOptions!$C$4:$C$7</definedName>
    <definedName name="listOfModel">InputOptions!$D$4:$D$6</definedName>
    <definedName name="listOfParasite">InputOptions!$B$4:$B$275</definedName>
    <definedName name="listOfYear">InputOptions!$A$4:$A$59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4" l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E50" i="13" l="1"/>
  <c r="E60" i="13"/>
  <c r="E63" i="13"/>
  <c r="F63" i="13"/>
  <c r="F62" i="13"/>
  <c r="F61" i="13"/>
  <c r="E62" i="13" s="1"/>
  <c r="F60" i="13"/>
  <c r="E61" i="13" s="1"/>
  <c r="F58" i="13"/>
  <c r="E59" i="13" s="1"/>
  <c r="F59" i="13" s="1"/>
  <c r="F57" i="13"/>
  <c r="E58" i="13" s="1"/>
  <c r="F56" i="13"/>
  <c r="E57" i="13" s="1"/>
  <c r="F55" i="13"/>
  <c r="E56" i="13" s="1"/>
  <c r="F54" i="13"/>
  <c r="E55" i="13" s="1"/>
  <c r="F53" i="13"/>
  <c r="E54" i="13" s="1"/>
  <c r="F52" i="13"/>
  <c r="E53" i="13" s="1"/>
  <c r="F51" i="13"/>
  <c r="E52" i="13" s="1"/>
  <c r="F50" i="13"/>
  <c r="E51" i="13" s="1"/>
  <c r="J51" i="13"/>
  <c r="J59" i="13"/>
  <c r="J58" i="13"/>
  <c r="J57" i="13"/>
  <c r="J56" i="13"/>
  <c r="J55" i="13"/>
  <c r="J54" i="13"/>
  <c r="J53" i="13"/>
  <c r="J52" i="13"/>
  <c r="J50" i="13"/>
  <c r="J60" i="13" l="1"/>
  <c r="J61" i="13"/>
  <c r="J63" i="13" s="1"/>
  <c r="J62" i="13"/>
</calcChain>
</file>

<file path=xl/sharedStrings.xml><?xml version="1.0" encoding="utf-8"?>
<sst xmlns="http://schemas.openxmlformats.org/spreadsheetml/2006/main" count="2206" uniqueCount="627">
  <si>
    <t>YES</t>
  </si>
  <si>
    <t>Item#</t>
  </si>
  <si>
    <t>Information about the parasite</t>
  </si>
  <si>
    <t>Trypanosoma congolense</t>
  </si>
  <si>
    <t>General</t>
  </si>
  <si>
    <t>Time of growing</t>
  </si>
  <si>
    <t>Information not available</t>
  </si>
  <si>
    <t>Information about the host</t>
  </si>
  <si>
    <t>Animal</t>
  </si>
  <si>
    <t>Cell</t>
  </si>
  <si>
    <t>Intraperitoneal</t>
  </si>
  <si>
    <t>Parasitaemia curve</t>
  </si>
  <si>
    <t>Survival curve</t>
  </si>
  <si>
    <t>10 parasites per cell</t>
  </si>
  <si>
    <t>95% of trypomastigotes</t>
  </si>
  <si>
    <t>20 days</t>
  </si>
  <si>
    <t>Information about the experimental infection process</t>
  </si>
  <si>
    <t>If the experimental infection is carried out in an animal</t>
  </si>
  <si>
    <t>If the experimental infection is carried out in a cell culture</t>
  </si>
  <si>
    <t xml:space="preserve">Parasite characteristics prior infection </t>
  </si>
  <si>
    <t>Time of infection</t>
  </si>
  <si>
    <t>PBS 1X pH 7.2</t>
  </si>
  <si>
    <t>Trypanosoma brucei</t>
  </si>
  <si>
    <t>Trypanosoma brucei brucei</t>
  </si>
  <si>
    <t>Trypanosoma brucei brucei strain 927/4 GUTat10.1</t>
  </si>
  <si>
    <t>Trypanosoma brucei brucei x gambiense 181</t>
  </si>
  <si>
    <t>Trypanosoma brucei brucei x gambiense 414</t>
  </si>
  <si>
    <t>Trypanosoma brucei equiperdum</t>
  </si>
  <si>
    <t>Trypanosoma brucei gambiense</t>
  </si>
  <si>
    <t>Trypanosoma brucei gambiense DAL972</t>
  </si>
  <si>
    <t>Trypanosoma brucei gambiense group 1</t>
  </si>
  <si>
    <t>Trypanosoma brucei gambiense group 2</t>
  </si>
  <si>
    <t>Trypanosoma brucei rhodesiense</t>
  </si>
  <si>
    <t>Trypanosoma brucei rhodesiense Ytat 1.1</t>
  </si>
  <si>
    <t>Trypanosoma brucei TREU927</t>
  </si>
  <si>
    <t>Trypanosoma congolense IL3000</t>
  </si>
  <si>
    <t>Trypanosoma cruzi</t>
  </si>
  <si>
    <t>Trypanosoma cruzi cruzi</t>
  </si>
  <si>
    <t>Trypanosoma cruzi JR cl. 4</t>
  </si>
  <si>
    <t>Trypanosoma cruzi marinkellei</t>
  </si>
  <si>
    <t>Trypanosoma cruzi strain CL Brener</t>
  </si>
  <si>
    <t>Trypanosoma cruzi strain Esmeraldo</t>
  </si>
  <si>
    <t>Trypanosoma lewisi</t>
  </si>
  <si>
    <t>Trypanosoma rangeli</t>
  </si>
  <si>
    <t>Trypanosoma rangeli Choachi</t>
  </si>
  <si>
    <t>Trypanosoma rangeli SC58</t>
  </si>
  <si>
    <t>Trypanosoma vivax</t>
  </si>
  <si>
    <t>Trypanosoma vivax Y486</t>
  </si>
  <si>
    <t>Trypanosoma blanchardi</t>
  </si>
  <si>
    <t>Trypanosoma rabinowitschae</t>
  </si>
  <si>
    <t>Trypanosoma simiae</t>
  </si>
  <si>
    <t>Trypanosoma simiae Tsavo</t>
  </si>
  <si>
    <t>Trypanosoma dionisii</t>
  </si>
  <si>
    <t>Trypanosoma erneyi</t>
  </si>
  <si>
    <t>Trypanosoma vespertilionis</t>
  </si>
  <si>
    <t>Trypanosoma sp. SJP-2011</t>
  </si>
  <si>
    <t>Trypanosoma sp. Fly9</t>
  </si>
  <si>
    <t>Trypanosoma avium</t>
  </si>
  <si>
    <t>Trypanosoma avium APO1</t>
  </si>
  <si>
    <t>Trypanosoma avium SIM3</t>
  </si>
  <si>
    <t>Trypanosoma cf. avium TRM-2012</t>
  </si>
  <si>
    <t>Trypanosoma bennetti</t>
  </si>
  <si>
    <t>Trypanosoma binneyi</t>
  </si>
  <si>
    <t>Trypanosoma boissoni</t>
  </si>
  <si>
    <t>Trypanosoma caninum</t>
  </si>
  <si>
    <t>Trypanosoma carassii</t>
  </si>
  <si>
    <t>Trypanosoma cascavelli</t>
  </si>
  <si>
    <t>Trypanosoma chattoni</t>
  </si>
  <si>
    <t>Trypanosoma chelodinae</t>
  </si>
  <si>
    <t>Trypanosoma cobitis</t>
  </si>
  <si>
    <t>Trypanosoma conorhini</t>
  </si>
  <si>
    <t>Trypanosoma copemani</t>
  </si>
  <si>
    <t>Trypanosoma corvi</t>
  </si>
  <si>
    <t>Trypanosoma culicavium</t>
  </si>
  <si>
    <t>Trypanosoma cyclops</t>
  </si>
  <si>
    <t>Trypanosoma danilewskyi</t>
  </si>
  <si>
    <t>Trypanosoma desterrensis</t>
  </si>
  <si>
    <t>Trypanosoma everetti</t>
  </si>
  <si>
    <t>Trypanosoma evotomys</t>
  </si>
  <si>
    <t>Trypanosoma fallisi</t>
  </si>
  <si>
    <t>Trypanosoma gallinarum</t>
  </si>
  <si>
    <t>Trypanosoma godfreyi</t>
  </si>
  <si>
    <t>Trypanosoma granulosum</t>
  </si>
  <si>
    <t>Trypanosoma grayi</t>
  </si>
  <si>
    <t>Trypanosoma grosi</t>
  </si>
  <si>
    <t>Trypanosoma hastatus</t>
  </si>
  <si>
    <t>Trypanosoma irwini</t>
  </si>
  <si>
    <t>Trypanosoma kuseli</t>
  </si>
  <si>
    <t>Trypanosoma leeuwenhoeki</t>
  </si>
  <si>
    <t>Trypanosoma mega</t>
  </si>
  <si>
    <t>Trypanosoma melophagium</t>
  </si>
  <si>
    <t>Trypanosoma microti</t>
  </si>
  <si>
    <t>Trypanosoma minasense</t>
  </si>
  <si>
    <t>Trypanosoma murmanensis</t>
  </si>
  <si>
    <t>Trypanosoma musculi</t>
  </si>
  <si>
    <t>Trypanosoma nabiasi</t>
  </si>
  <si>
    <t>Trypanosoma neveulemairei</t>
  </si>
  <si>
    <t>Trypanosoma ophiocephali</t>
  </si>
  <si>
    <t>Trypanosoma otospermophili</t>
  </si>
  <si>
    <t>Trypanosoma percae</t>
  </si>
  <si>
    <t>Trypanosoma pestanai</t>
  </si>
  <si>
    <t>Trypanosoma pleuronectidium</t>
  </si>
  <si>
    <t>Trypanosoma ranarum</t>
  </si>
  <si>
    <t>Trypanosoma rotatorium</t>
  </si>
  <si>
    <t>Trypanosoma scelopori</t>
  </si>
  <si>
    <t>Trypanosoma siniperca</t>
  </si>
  <si>
    <t>Trypanosoma theileri</t>
  </si>
  <si>
    <t>Trypanosoma therezieni</t>
  </si>
  <si>
    <t>Trypanosoma triglae</t>
  </si>
  <si>
    <t>Trypanosoma triglae senegalensis</t>
  </si>
  <si>
    <t>Trypanosoma varani</t>
  </si>
  <si>
    <t>Trypanosoma cf. brucei Msubugwe</t>
  </si>
  <si>
    <t>Trypanosoma equiperdum</t>
  </si>
  <si>
    <t>Trypanosoma evansi</t>
  </si>
  <si>
    <t>Trypanosoma evansi evansi</t>
  </si>
  <si>
    <t>Trypanosoma sp. Asas 6</t>
  </si>
  <si>
    <t>Trypanosoma sp. Baba 4</t>
  </si>
  <si>
    <t>Trypanosoma sp. Caau 8</t>
  </si>
  <si>
    <t>Trypanosoma sp. Cyca 1</t>
  </si>
  <si>
    <t>Trypanosoma sp. Cyca 7</t>
  </si>
  <si>
    <t>Trypanosoma sp. Eslu 10</t>
  </si>
  <si>
    <t>Trypanosoma sp. Eslu 11</t>
  </si>
  <si>
    <t>Trypanosoma sp. Eslu 12</t>
  </si>
  <si>
    <t>Trypanosoma sp. Eslu 9</t>
  </si>
  <si>
    <t>Trypanosoma sp. Lece 5</t>
  </si>
  <si>
    <t>Trypanosoma sp. Pefl 13</t>
  </si>
  <si>
    <t>Trypanosoma sp. Pefl 14</t>
  </si>
  <si>
    <t>Trypanosoma sp. Ruru 3</t>
  </si>
  <si>
    <t>Trypanosoma sp. Sigl 15</t>
  </si>
  <si>
    <t>Trypanosoma sp. Titi 2</t>
  </si>
  <si>
    <t>Trypanosoma sp.</t>
  </si>
  <si>
    <t>Trypanosoma sp. 1 EA-2008</t>
  </si>
  <si>
    <t>Trypanosoma sp. 101</t>
  </si>
  <si>
    <t>Trypanosoma sp. 103</t>
  </si>
  <si>
    <t>Trypanosoma sp. 1052</t>
  </si>
  <si>
    <t>Trypanosoma sp. 1092</t>
  </si>
  <si>
    <t>Trypanosoma sp. 1100</t>
  </si>
  <si>
    <t>Trypanosoma sp. 1101</t>
  </si>
  <si>
    <t>Trypanosoma sp. 1102</t>
  </si>
  <si>
    <t>Trypanosoma sp. 1119</t>
  </si>
  <si>
    <t>Trypanosoma sp. 1120</t>
  </si>
  <si>
    <t>Trypanosoma sp. 1155</t>
  </si>
  <si>
    <t>Trypanosoma sp. 120</t>
  </si>
  <si>
    <t>Trypanosoma sp. 2 EA-2008</t>
  </si>
  <si>
    <t>Trypanosoma sp. 251356</t>
  </si>
  <si>
    <t>Trypanosoma sp. 251468C</t>
  </si>
  <si>
    <t>Trypanosoma sp. 251468T</t>
  </si>
  <si>
    <t>Trypanosoma sp. 251483</t>
  </si>
  <si>
    <t>Trypanosoma sp. 27-1176</t>
  </si>
  <si>
    <t>Trypanosoma sp. 271345</t>
  </si>
  <si>
    <t>Trypanosoma sp. 2B5</t>
  </si>
  <si>
    <t>Trypanosoma sp. 2B7</t>
  </si>
  <si>
    <t>Trypanosoma sp. 2D2</t>
  </si>
  <si>
    <t>Trypanosoma sp. 2E1</t>
  </si>
  <si>
    <t>Trypanosoma sp. 2F6</t>
  </si>
  <si>
    <t>Trypanosoma sp. 2MC3</t>
  </si>
  <si>
    <t>Trypanosoma sp. 305</t>
  </si>
  <si>
    <t>Trypanosoma sp. 315</t>
  </si>
  <si>
    <t>Trypanosoma sp. 316</t>
  </si>
  <si>
    <t>Trypanosoma sp. 322</t>
  </si>
  <si>
    <t>Trypanosoma sp. 339</t>
  </si>
  <si>
    <t>Trypanosoma sp. 346</t>
  </si>
  <si>
    <t>Trypanosoma sp. 358</t>
  </si>
  <si>
    <t>Trypanosoma sp. 362</t>
  </si>
  <si>
    <t>Trypanosoma sp. 364</t>
  </si>
  <si>
    <t>Trypanosoma sp. 398</t>
  </si>
  <si>
    <t>Trypanosoma sp. 399</t>
  </si>
  <si>
    <t>Trypanosoma sp. 406</t>
  </si>
  <si>
    <t>Trypanosoma sp. 408</t>
  </si>
  <si>
    <t>Trypanosoma sp. 444</t>
  </si>
  <si>
    <t>Trypanosoma sp. 610</t>
  </si>
  <si>
    <t>Trypanosoma sp. 624</t>
  </si>
  <si>
    <t>Trypanosoma sp. 625</t>
  </si>
  <si>
    <t>Trypanosoma sp. 646</t>
  </si>
  <si>
    <t>Trypanosoma sp. 660</t>
  </si>
  <si>
    <t>Trypanosoma sp. 858</t>
  </si>
  <si>
    <t>Trypanosoma sp. 887</t>
  </si>
  <si>
    <t>Trypanosoma sp. 888</t>
  </si>
  <si>
    <t>Trypanosoma sp. 910</t>
  </si>
  <si>
    <t>Trypanosoma sp. AAI</t>
  </si>
  <si>
    <t>Trypanosoma sp. AAT</t>
  </si>
  <si>
    <t>Trypanosoma sp. ACR-2011</t>
  </si>
  <si>
    <t>Trypanosoma sp. AEM</t>
  </si>
  <si>
    <t>Trypanosoma sp. AEX</t>
  </si>
  <si>
    <t>Trypanosoma sp. AHB</t>
  </si>
  <si>
    <t>Trypanosoma sp. AMA1</t>
  </si>
  <si>
    <t>Trypanosoma sp. AP-2011a</t>
  </si>
  <si>
    <t>Trypanosoma sp. AP-2011b</t>
  </si>
  <si>
    <t>Trypanosoma sp. AP-2011c</t>
  </si>
  <si>
    <t>Trypanosoma sp. Australian rabbit R5</t>
  </si>
  <si>
    <t>Trypanosoma sp. bat/TryCC60/GAB</t>
  </si>
  <si>
    <t>Trypanosoma sp. BDA1</t>
  </si>
  <si>
    <t>Trypanosoma sp. BDA2</t>
  </si>
  <si>
    <t>Trypanosoma sp. BDA3</t>
  </si>
  <si>
    <t>Trypanosoma sp. BDA4</t>
  </si>
  <si>
    <t>Trypanosoma sp. Bina</t>
  </si>
  <si>
    <t>Trypanosoma sp. BOU16b</t>
  </si>
  <si>
    <t>Trypanosoma sp. BRA1</t>
  </si>
  <si>
    <t>Trypanosoma sp. BRA2</t>
  </si>
  <si>
    <t>Trypanosoma sp. BRA3</t>
  </si>
  <si>
    <t>Trypanosoma sp. carpio</t>
  </si>
  <si>
    <t>Trypanosoma sp. CHA1</t>
  </si>
  <si>
    <t>Trypanosoma sp. CHU1</t>
  </si>
  <si>
    <t>Trypanosoma sp. CLAR</t>
  </si>
  <si>
    <t>Trypanosoma sp. CUL1</t>
  </si>
  <si>
    <t>Trypanosoma sp. currawong AAT</t>
  </si>
  <si>
    <t>Trypanosoma sp. D30</t>
  </si>
  <si>
    <t>Trypanosoma sp. DBA1</t>
  </si>
  <si>
    <t>Trypanosoma sp. ex Culex pipiens</t>
  </si>
  <si>
    <t>Trypanosoma sp. ex Culex tarsalis</t>
  </si>
  <si>
    <t>Trypanosoma sp. Frog ADE</t>
  </si>
  <si>
    <t>Trypanosoma sp. fulvidraco</t>
  </si>
  <si>
    <t>Trypanosoma sp. GBA1</t>
  </si>
  <si>
    <t>Trypanosoma sp. Gecko</t>
  </si>
  <si>
    <t>Trypanosoma sp. H26</t>
  </si>
  <si>
    <t>Trypanosoma sp. HAG-2011</t>
  </si>
  <si>
    <t>Trypanosoma sp. HEAL01</t>
  </si>
  <si>
    <t>Trypanosoma sp. HEAL02</t>
  </si>
  <si>
    <t>Trypanosoma sp. HEAL03</t>
  </si>
  <si>
    <t>Trypanosoma sp. HN-2005a</t>
  </si>
  <si>
    <t>Trypanosoma sp. HN-2005b</t>
  </si>
  <si>
    <t>Trypanosoma sp. HochNdi1</t>
  </si>
  <si>
    <t>Trypanosoma sp. HS-tamarin15</t>
  </si>
  <si>
    <t>Trypanosoma sp. IKAZ/PK/04/SKF32</t>
  </si>
  <si>
    <t>Trypanosoma sp. JD-2008b</t>
  </si>
  <si>
    <t>Trypanosoma sp. JSC-2011a</t>
  </si>
  <si>
    <t>Trypanosoma sp. JSC-2011b</t>
  </si>
  <si>
    <t>Trypanosoma sp. K&amp;A leech</t>
  </si>
  <si>
    <t>Trypanosoma sp. kangaroo H25</t>
  </si>
  <si>
    <t>Trypanosoma sp. KG1</t>
  </si>
  <si>
    <t>Trypanosoma sp. KU81</t>
  </si>
  <si>
    <t>Trypanosoma sp. LL-2012</t>
  </si>
  <si>
    <t>Trypanosoma sp. LM-2010a</t>
  </si>
  <si>
    <t>Trypanosoma sp. LZ-2011</t>
  </si>
  <si>
    <t>Trypanosoma sp. Marv</t>
  </si>
  <si>
    <t>Trypanosoma sp. Mc1</t>
  </si>
  <si>
    <t>Trypanosoma sp. MENO01</t>
  </si>
  <si>
    <t>Trypanosoma sp. MMA1</t>
  </si>
  <si>
    <t>Trypanosoma sp. MMAC/AU/97/H25</t>
  </si>
  <si>
    <t>Trypanosoma sp. Mole</t>
  </si>
  <si>
    <t>Trypanosoma sp. Msubugwe-2006</t>
  </si>
  <si>
    <t>Trypanosoma sp. MVOM/AU/97/H26</t>
  </si>
  <si>
    <t>Trypanosoma sp. N335</t>
  </si>
  <si>
    <t>Trypanosoma sp. NanDoum1</t>
  </si>
  <si>
    <t>Trypanosoma sp. OA6</t>
  </si>
  <si>
    <t>Trypanosoma sp. P63</t>
  </si>
  <si>
    <t>Trypanosoma sp. P94</t>
  </si>
  <si>
    <t>Trypanosoma sp. PAPE01</t>
  </si>
  <si>
    <t>Trypanosoma sp. PNW20</t>
  </si>
  <si>
    <t>Trypanosoma sp. pseudobagri</t>
  </si>
  <si>
    <t>Trypanosoma sp. Python</t>
  </si>
  <si>
    <t>Trypanosoma sp. Q3</t>
  </si>
  <si>
    <t>Trypanosoma sp. R1</t>
  </si>
  <si>
    <t>Trypanosoma sp. R6</t>
  </si>
  <si>
    <t>Trypanosoma sp. Rd1/SWE</t>
  </si>
  <si>
    <t>Trypanosoma sp. RHFU01</t>
  </si>
  <si>
    <t>Trypanosoma sp. SEMA01</t>
  </si>
  <si>
    <t>Trypanosoma sp. Seputih</t>
  </si>
  <si>
    <t>Trypanosoma sp. sika deer/Hokkaido/2004</t>
  </si>
  <si>
    <t>Trypanosoma sp. SMA1</t>
  </si>
  <si>
    <t>Trypanosoma sp. T. grayi-like-F4</t>
  </si>
  <si>
    <t>Trypanosoma sp. TL.AQ.22</t>
  </si>
  <si>
    <t>Trypanosoma sp. TL.AQ.40</t>
  </si>
  <si>
    <t>Trypanosoma sp. TL.AQ.45</t>
  </si>
  <si>
    <t>Trypanosoma sp. TL.AQ.48</t>
  </si>
  <si>
    <t>Trypanosoma sp. TL.AV.43 cl100B</t>
  </si>
  <si>
    <t>Trypanosoma sp. TL.AV.44 cl. 156B</t>
  </si>
  <si>
    <t>Trypanosoma sp. TL.AV.44. cl157</t>
  </si>
  <si>
    <t>Trypanosoma sp. TL.NG.1</t>
  </si>
  <si>
    <t>Trypanosoma sp. TL.SL.1</t>
  </si>
  <si>
    <t>Trypanosoma sp. TL.SL.13</t>
  </si>
  <si>
    <t>Trypanosoma sp. TL.SL.5A</t>
  </si>
  <si>
    <t>Trypanosoma sp. TRY1</t>
  </si>
  <si>
    <t>Trypanosoma sp. TRY2</t>
  </si>
  <si>
    <t>Trypanosoma sp. TryAsTWN301</t>
  </si>
  <si>
    <t>Trypanosoma sp. TRYCC1052</t>
  </si>
  <si>
    <t>Trypanosoma sp. TryCdVNM301</t>
  </si>
  <si>
    <t>Trypanosoma sp. TryEaNG/HP405</t>
  </si>
  <si>
    <t>Trypanosoma sp. TryMmNG/HP402</t>
  </si>
  <si>
    <t>Trypanosoma sp. TryNcCHN503</t>
  </si>
  <si>
    <t>Trypanosoma sp. Ts-Ab-TB</t>
  </si>
  <si>
    <t>Trypanosoma sp. Ts-Caa-PO</t>
  </si>
  <si>
    <t>Trypanosoma sp. Ts-Cc-Sp</t>
  </si>
  <si>
    <t>Trypanosoma sp. Ts-Se-BL</t>
  </si>
  <si>
    <t>Trypanosoma sp. Ts-Tt-HOD</t>
  </si>
  <si>
    <t>Trypanosoma sp. TSD1</t>
  </si>
  <si>
    <t>Trypanosoma sp. Wallaby 10</t>
  </si>
  <si>
    <t>Trypanosoma sp. wallaby ABF</t>
  </si>
  <si>
    <t>Trypanosoma sp. wombat AAP</t>
  </si>
  <si>
    <t>Trypanosoma sp. WYA1</t>
  </si>
  <si>
    <t>Trypanosoma sp. WYA2</t>
  </si>
  <si>
    <t>Trypanosoma sp. YS-2012</t>
  </si>
  <si>
    <t>Trypanosoma sp. Z3206</t>
  </si>
  <si>
    <t>Human African Trypanosomiasis (sleeping sickness)</t>
  </si>
  <si>
    <t>Human American Trypanosomiasis (Chagas disease)</t>
  </si>
  <si>
    <t>Animal African Trypanosomiasis</t>
  </si>
  <si>
    <t>Other Trypanosomiasis</t>
  </si>
  <si>
    <t>Cell model</t>
  </si>
  <si>
    <t>Animal model</t>
  </si>
  <si>
    <t>Quality of parasite information</t>
  </si>
  <si>
    <t>Quality of host information</t>
  </si>
  <si>
    <t>Quality of infection information</t>
  </si>
  <si>
    <t>Quality of the experiment</t>
  </si>
  <si>
    <t>Animal and Cell models</t>
  </si>
  <si>
    <t>Please input the information of the reviewed paper</t>
  </si>
  <si>
    <t>RuleID</t>
  </si>
  <si>
    <t>RuleExpression</t>
  </si>
  <si>
    <t>RuleAction</t>
  </si>
  <si>
    <t>QualityOK(item4)|= QualityOK(item4) OR QualityOK(item5)</t>
  </si>
  <si>
    <t>QualityOK(ExpReportingInfo )  |= QualityOK(ParasiteInfo)  And  QualityOK(HostInfo)  And  QualityOK(EIProcessInfo)</t>
  </si>
  <si>
    <t>InterFunction</t>
  </si>
  <si>
    <t>InterVariable</t>
  </si>
  <si>
    <t>InterVarAddress</t>
  </si>
  <si>
    <t>InterVarAddress2</t>
  </si>
  <si>
    <t>QUALITYOK</t>
  </si>
  <si>
    <t>item1</t>
  </si>
  <si>
    <t>ISNULL</t>
  </si>
  <si>
    <t>item2</t>
  </si>
  <si>
    <t>VALUE</t>
  </si>
  <si>
    <t>item3</t>
  </si>
  <si>
    <t>DOMAINVALUES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</si>
  <si>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</si>
  <si>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</si>
  <si>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</si>
  <si>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</si>
  <si>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</si>
  <si>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</si>
  <si>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</si>
  <si>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</si>
  <si>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</si>
  <si>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</si>
  <si>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</si>
  <si>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$G$20</t>
  </si>
  <si>
    <t>item15</t>
  </si>
  <si>
    <t>$G$21</t>
  </si>
  <si>
    <t>item16</t>
  </si>
  <si>
    <t>$G$22</t>
  </si>
  <si>
    <t>item17</t>
  </si>
  <si>
    <t>$G$23</t>
  </si>
  <si>
    <t>item18</t>
  </si>
  <si>
    <t>$G$24</t>
  </si>
  <si>
    <t>item19</t>
  </si>
  <si>
    <t>$G$25</t>
  </si>
  <si>
    <t>$G$26</t>
  </si>
  <si>
    <t>item21</t>
  </si>
  <si>
    <t>$G$27</t>
  </si>
  <si>
    <t>item22</t>
  </si>
  <si>
    <t>$G$28</t>
  </si>
  <si>
    <t>item23</t>
  </si>
  <si>
    <t>$G$29</t>
  </si>
  <si>
    <t>item24</t>
  </si>
  <si>
    <t>$G$30</t>
  </si>
  <si>
    <t>item25</t>
  </si>
  <si>
    <t>$G$31</t>
  </si>
  <si>
    <t>item26</t>
  </si>
  <si>
    <t>$G$32</t>
  </si>
  <si>
    <t>item27</t>
  </si>
  <si>
    <t>$G$35</t>
  </si>
  <si>
    <t>item28</t>
  </si>
  <si>
    <t>$G$36</t>
  </si>
  <si>
    <t>item29</t>
  </si>
  <si>
    <t>$G$37</t>
  </si>
  <si>
    <t>item30</t>
  </si>
  <si>
    <t>$G$38</t>
  </si>
  <si>
    <t>item31</t>
  </si>
  <si>
    <t>$G$39</t>
  </si>
  <si>
    <t>item32</t>
  </si>
  <si>
    <t>$G$40</t>
  </si>
  <si>
    <t>item33</t>
  </si>
  <si>
    <t>$G$41</t>
  </si>
  <si>
    <t>item34</t>
  </si>
  <si>
    <t>item35</t>
  </si>
  <si>
    <t>$G$43</t>
  </si>
  <si>
    <t>item36</t>
  </si>
  <si>
    <t>$G$44</t>
  </si>
  <si>
    <t>item37</t>
  </si>
  <si>
    <t>$G$45</t>
  </si>
  <si>
    <t>item38</t>
  </si>
  <si>
    <t>$G$46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</si>
  <si>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</si>
  <si>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</si>
  <si>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</si>
  <si>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</si>
  <si>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</si>
  <si>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</si>
  <si>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</si>
  <si>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</si>
  <si>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</si>
  <si>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</si>
  <si>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ParasiteInfo</t>
  </si>
  <si>
    <t>HostInfo</t>
  </si>
  <si>
    <t>EIProcessInfo</t>
  </si>
  <si>
    <t>ExpReportingInfo</t>
  </si>
  <si>
    <t>UserFunction</t>
  </si>
  <si>
    <t>UserVariable</t>
  </si>
  <si>
    <t>Result</t>
  </si>
  <si>
    <t>$C$18</t>
  </si>
  <si>
    <t>$G$18</t>
  </si>
  <si>
    <t>$G$34</t>
  </si>
  <si>
    <t>$G$50</t>
  </si>
  <si>
    <t>$G$52</t>
  </si>
  <si>
    <t>$G$19</t>
  </si>
  <si>
    <t>$G$33</t>
  </si>
  <si>
    <t>$G$47</t>
  </si>
  <si>
    <t>$G$48</t>
  </si>
  <si>
    <t>$G$49</t>
  </si>
  <si>
    <t>$G$51</t>
  </si>
  <si>
    <t>Is the the strain of the parasite identified? (e.g. IL1180)</t>
  </si>
  <si>
    <t>Is the stage of the parasite used identified? (e.g. Trypomastigotes)</t>
  </si>
  <si>
    <t>Is the species of the animal identified? (e.g. Mouse)</t>
  </si>
  <si>
    <t>Is the gender of the animal described? (e.g. Male)</t>
  </si>
  <si>
    <t>Is the age of the animal described? (e.g. 12 weeks old)</t>
  </si>
  <si>
    <t>Is the strain of the animal identified? (e.g. A/J mice)</t>
  </si>
  <si>
    <t>Is the cell type identified? (e.g. HeLa)</t>
  </si>
  <si>
    <t>Is the parasite collection sample identified? (e.g. Tail blood)</t>
  </si>
  <si>
    <t>Is the strain of the animal identified? (e.g. BALB/c mice)</t>
  </si>
  <si>
    <t>Is the age of the animal described? (e.g. 6-8 weeks old)</t>
  </si>
  <si>
    <t>Is the gender of the animal described? (e.g. Female)</t>
  </si>
  <si>
    <t>Is the cell type identified? (e.g. HEK 293)</t>
  </si>
  <si>
    <t>Is the culture medium used described? (e.g. RPMI)</t>
  </si>
  <si>
    <t>Is the time of growing of the parasite prior to infection described? (e.g. 72 hours and (3 days))</t>
  </si>
  <si>
    <t>Is the method of sacrifice described? (e.g. Cervical dislocation)</t>
  </si>
  <si>
    <t>In primary culture, is the organ/tissue from which cells come identifed? (e.g. Fibroblast from heart)</t>
  </si>
  <si>
    <t>In primary culture, is the method of purification of the cells described? (e.g. Magnetic cell sorting system)</t>
  </si>
  <si>
    <t>Is the culture medium used described? (e.g. DMEM)</t>
  </si>
  <si>
    <t>Is the time of growing of the cells prior to infection described? (e.g. 72 hours and (3 days))</t>
  </si>
  <si>
    <t>Is the inoculum –parasites per animal- used described? (e.g. 5 x 102 parasites)</t>
  </si>
  <si>
    <t>Is the way of inoculation described? (e.g. Intraperitoneal)</t>
  </si>
  <si>
    <t>Is the medium of inoculation described? (e.g. PBS 1X pH 7.2)</t>
  </si>
  <si>
    <t>Is the parasitaemia and the time in which the parasitaemia was measured reported? (e.g. Parasitaemia curve)</t>
  </si>
  <si>
    <t>Is the mortality of the animals post-infection reported? (e.g. Survival curve)</t>
  </si>
  <si>
    <t>Is the ratio –parasites per cell- used described? (e.g. 10 parasites per cell)</t>
  </si>
  <si>
    <t>Is the purity of infective forms of the parasite described? (e.g. 95% of trypomastigotes)</t>
  </si>
  <si>
    <t>Is the time course (length) of infection described? (e.g. 20 days)</t>
  </si>
  <si>
    <t>Is the viability of cells prior to infection reported? (e.g. 99%)</t>
  </si>
  <si>
    <t>Is the purity of the primary culture reported? (e.g. 95%)</t>
  </si>
  <si>
    <t>Is the percentage of infected cells reported? (e.g. 70%)</t>
  </si>
  <si>
    <t>Is the viability of parasites prior to infection reported? (e.g. 99%)</t>
  </si>
  <si>
    <t>Is the housing conditions -light/dark cycle- described?  (e.g. 12 hours light/dark)</t>
  </si>
  <si>
    <t>Is the housing conditions -temperature- described?  (e.g. 25 °C)</t>
  </si>
  <si>
    <t>Is the housing conditions -humidity- described?  (e.g. 40-45 %)</t>
  </si>
  <si>
    <t>Is the housing conditions -food/water access- described?  (e.g. limited-access)</t>
  </si>
  <si>
    <t>Is the housing conditions -animals per cage- described?  (e.g. 3 mice per cage)</t>
  </si>
  <si>
    <t>Is the housing conditions -sex cage- described?  (e.g. same-sex cage)</t>
  </si>
  <si>
    <t>Is the supplements used described? (e.g. FBS 10%; etc.)</t>
  </si>
  <si>
    <t>Is the antibiotics used described? (e.g. gentamicin; etc.)</t>
  </si>
  <si>
    <t>Is the temperature of the culture described? (e.g. 37 °C)</t>
  </si>
  <si>
    <t>Is the CO2 atmosphere of the culture described? (e.g. 5% CO2)</t>
  </si>
  <si>
    <t>Not applicable</t>
  </si>
  <si>
    <r>
      <t xml:space="preserve">Is the species of the parasite identified? (e.g. </t>
    </r>
    <r>
      <rPr>
        <i/>
        <sz val="9"/>
        <color rgb="FF000000"/>
        <rFont val="Calibri"/>
        <family val="2"/>
        <scheme val="minor"/>
      </rPr>
      <t>Trypanosoma congolense</t>
    </r>
    <r>
      <rPr>
        <sz val="9"/>
        <color rgb="FF000000"/>
        <rFont val="Calibri"/>
        <family val="2"/>
        <scheme val="minor"/>
      </rPr>
      <t>)</t>
    </r>
  </si>
  <si>
    <r>
      <t xml:space="preserve">Culture conditions for parasites grown </t>
    </r>
    <r>
      <rPr>
        <b/>
        <i/>
        <sz val="9"/>
        <color theme="1"/>
        <rFont val="Calibri"/>
        <family val="2"/>
        <scheme val="minor"/>
      </rPr>
      <t>in vivo</t>
    </r>
  </si>
  <si>
    <r>
      <t xml:space="preserve">Culture conditions for parasites grown </t>
    </r>
    <r>
      <rPr>
        <b/>
        <i/>
        <sz val="9"/>
        <color theme="1"/>
        <rFont val="Calibri"/>
        <family val="2"/>
        <scheme val="minor"/>
      </rPr>
      <t>in vitro</t>
    </r>
  </si>
  <si>
    <r>
      <t>5 x 10</t>
    </r>
    <r>
      <rPr>
        <vertAlign val="superscript"/>
        <sz val="9"/>
        <color rgb="FFFF0000"/>
        <rFont val="Calibri"/>
        <family val="2"/>
        <scheme val="minor"/>
      </rPr>
      <t>2</t>
    </r>
    <r>
      <rPr>
        <sz val="9"/>
        <color rgb="FFFF0000"/>
        <rFont val="Calibri"/>
        <family val="2"/>
        <scheme val="minor"/>
      </rPr>
      <t xml:space="preserve"> parasites</t>
    </r>
  </si>
  <si>
    <t>Choose the species of the parasite</t>
  </si>
  <si>
    <t>Choose the disease modeled</t>
  </si>
  <si>
    <t>Choose de experimental model</t>
  </si>
  <si>
    <t>$G$53</t>
  </si>
  <si>
    <t>$G$54</t>
  </si>
  <si>
    <t>$G$55</t>
  </si>
  <si>
    <t>$G$56</t>
  </si>
  <si>
    <t>$G$57</t>
  </si>
  <si>
    <t>$G$58</t>
  </si>
  <si>
    <t>item39</t>
  </si>
  <si>
    <t>$G$59</t>
  </si>
  <si>
    <t>item40</t>
  </si>
  <si>
    <t>$G$60</t>
  </si>
  <si>
    <t>item41</t>
  </si>
  <si>
    <t>$G$61</t>
  </si>
  <si>
    <t>item42</t>
  </si>
  <si>
    <t>$G$62</t>
  </si>
  <si>
    <t>$C$31</t>
  </si>
  <si>
    <t>$C$61</t>
  </si>
  <si>
    <t>$C$62</t>
  </si>
  <si>
    <t>MUST</t>
  </si>
  <si>
    <t>Please fill the fields
the fields cannot be empty</t>
  </si>
  <si>
    <t>$G$42</t>
  </si>
  <si>
    <t>MustBeProvided And ValueIsYes or NotMustBeProvide AND (Not ValueIsNo)</t>
  </si>
  <si>
    <t>QualityOK(item2) |= MainRule</t>
  </si>
  <si>
    <t>QualityOK(item1) |=  MainRule</t>
  </si>
  <si>
    <t>QualityOK(item3) |=MainRule</t>
  </si>
  <si>
    <t>QualityOK(item4) |= MainRule</t>
  </si>
  <si>
    <t>QualityOK(item5) |= MainRule</t>
  </si>
  <si>
    <t>QualityOK(item6) |= MainRule</t>
  </si>
  <si>
    <t>QualityOK(item7) |= MainRule</t>
  </si>
  <si>
    <t>QualityOK(item8) |= MainRule</t>
  </si>
  <si>
    <t>QualityOK(item9) |= MainRule</t>
  </si>
  <si>
    <t>QualityOK(item10) |= MainRule</t>
  </si>
  <si>
    <t>QualityOK(item11) |= MainRule</t>
  </si>
  <si>
    <t>QualityOK(item12) |= MainRule</t>
  </si>
  <si>
    <t>QualityOK(item13) |= MainRule</t>
  </si>
  <si>
    <t>QualityOK(item14) |= MainRule</t>
  </si>
  <si>
    <t>QualityOK(item15) |= MainRule</t>
  </si>
  <si>
    <t>QualityOK(item16) |= MainRule</t>
  </si>
  <si>
    <t>QualityOK(item17) |= MainRule</t>
  </si>
  <si>
    <t>QualityOK(item18) |= MainRule</t>
  </si>
  <si>
    <t>QualityOK(item19) |= MainRule</t>
  </si>
  <si>
    <t>QualityOK(item21) |= MainRule</t>
  </si>
  <si>
    <t>QualityOK(item22) |= MainRule</t>
  </si>
  <si>
    <t>QualityOK(item23) |= MainRule</t>
  </si>
  <si>
    <t>QualityOK(item24) |= MainRule</t>
  </si>
  <si>
    <t>QualityOK(item25) |= MainRule</t>
  </si>
  <si>
    <t>QualityOK(item26) |= MainRule</t>
  </si>
  <si>
    <t>QualityOK(item27) |= MainRule</t>
  </si>
  <si>
    <t>QualityOK(item28) |= MainRule</t>
  </si>
  <si>
    <t>QualityOK(item29) |= MainRule</t>
  </si>
  <si>
    <t>QualityOK(item30) |= MainRule</t>
  </si>
  <si>
    <t>QualityOK(item31) |= MainRule</t>
  </si>
  <si>
    <t>QualityOK(item32) |= MainRule</t>
  </si>
  <si>
    <t>QualityOK(item33) |= MainRule</t>
  </si>
  <si>
    <t>QualityOK(item34) |= MainRule</t>
  </si>
  <si>
    <t>QualityOK(item35) |= MainRule</t>
  </si>
  <si>
    <t>QualityOK(item36) |= MainRule</t>
  </si>
  <si>
    <t>QualityOK(item37) |= MainRule</t>
  </si>
  <si>
    <t>QualityOK(item38) |= MainRule</t>
  </si>
  <si>
    <t>QualityOK(item39) |= MainRule</t>
  </si>
  <si>
    <t>QualityOK(item40) |= MainRule</t>
  </si>
  <si>
    <t>QualityOK(item41) |= MainRule</t>
  </si>
  <si>
    <t>QualityOK(item42) |= MainRule</t>
  </si>
  <si>
    <t>QualityOK(D)|=QualityOK(item15)</t>
  </si>
  <si>
    <t>QualityOK(I)|=QualityOK(item40)  And  QualityOK(item41)</t>
  </si>
  <si>
    <t>QualityOK(J)|=QualityOK(item42)</t>
  </si>
  <si>
    <t>QualityOK(item16) |= QualityOK(item16) OR QualityOK(item17)</t>
  </si>
  <si>
    <t>$G$4</t>
  </si>
  <si>
    <t>$G$5</t>
  </si>
  <si>
    <t>$G$6</t>
  </si>
  <si>
    <t>$G$7</t>
  </si>
  <si>
    <t>QualityOK(A)|=QualityOK(item1)  And  QualityOK(item2)  AND  QualityOK(item3)</t>
  </si>
  <si>
    <t>Please answer the following questions according to
 the information reported in the experiment.</t>
  </si>
  <si>
    <t>Paper #</t>
  </si>
  <si>
    <t>Please provide the PMID</t>
  </si>
  <si>
    <t>Item groups</t>
  </si>
  <si>
    <r>
      <t xml:space="preserve">Checklist for the reporting of </t>
    </r>
    <r>
      <rPr>
        <b/>
        <i/>
        <sz val="15"/>
        <color theme="0"/>
        <rFont val="Calibri"/>
        <family val="2"/>
        <scheme val="minor"/>
      </rPr>
      <t>Trypanosoma</t>
    </r>
    <r>
      <rPr>
        <b/>
        <sz val="15"/>
        <color theme="0"/>
        <rFont val="Calibri"/>
        <family val="2"/>
        <scheme val="minor"/>
      </rPr>
      <t xml:space="preserve"> experiments</t>
    </r>
  </si>
  <si>
    <t>Not (MustBeProvided and ValueIsInformationNotAvailable)</t>
  </si>
  <si>
    <t>NOTAPPLICABLE</t>
  </si>
  <si>
    <t>NotApplicableBandC</t>
  </si>
  <si>
    <t>NotApplicableEandF</t>
  </si>
  <si>
    <t>NotApplicableGandH</t>
  </si>
  <si>
    <t xml:space="preserve">QualityOK(NotApplicableEandF) |=  NOTAPPLICABLE(E) AND NOTAPPLICABLE(F)  </t>
  </si>
  <si>
    <t xml:space="preserve">QualityOK(NotApplicableBandC) |= NOTAPPLICABLE(B) AND NOTAPPLICABLE(C ) </t>
  </si>
  <si>
    <t xml:space="preserve">QualityOK(NotApplicableGandH) |=  NOTAPPLICABLE(G) AND NOTAPPLICABLE(H) </t>
  </si>
  <si>
    <r>
      <t xml:space="preserve">QualityOK(B)|=QualityOK(item4)  And  QualityOK(item5)  And  QualityOK(item6)  And  QualityOK(item7)  And  QualityOK(item8) </t>
    </r>
    <r>
      <rPr>
        <b/>
        <sz val="11"/>
        <color rgb="FFC00000"/>
        <rFont val="Calibri"/>
        <family val="2"/>
        <scheme val="minor"/>
      </rPr>
      <t>and (not QualityOK(NotApplicableBandC))</t>
    </r>
  </si>
  <si>
    <r>
      <t>QualityOK(C)|=QualityOK(item9)  And  QualityOK(item10)  And  QualityOK(item11)  And  QualityOK(item12)  And  QualityOK(item13)  And  QualityOK(item14)</t>
    </r>
    <r>
      <rPr>
        <b/>
        <sz val="11"/>
        <color rgb="FFC00000"/>
        <rFont val="Calibri"/>
        <family val="2"/>
        <scheme val="minor"/>
      </rPr>
      <t xml:space="preserve"> and (not QualityOK(NotApplicableBandC))</t>
    </r>
  </si>
  <si>
    <r>
      <t xml:space="preserve">QualityOK(F)|= QualityOK(item22)  And  QualityOK(item23)  And  QualityOK(item24)  And  QualityOK(item25)  And  QualityOK(item26) And QualityOK(item27)  And  QualityOK(item28)  And  QualityOK(item29)  And  QualityOK(item30) </t>
    </r>
    <r>
      <rPr>
        <b/>
        <sz val="11"/>
        <color rgb="FFC00000"/>
        <rFont val="Calibri"/>
        <family val="2"/>
        <scheme val="minor"/>
      </rPr>
      <t xml:space="preserve"> and (not QualityOK(NotApplicableEandF) )</t>
    </r>
  </si>
  <si>
    <r>
      <t xml:space="preserve">QualityOK(G)|=QualityOK(item31)  And  QualityOK(item32)  And  QualityOK(item33)  And  QualityOK(item34)  And  QualityOK(item35) </t>
    </r>
    <r>
      <rPr>
        <b/>
        <sz val="11"/>
        <color rgb="FFC00000"/>
        <rFont val="Calibri"/>
        <family val="2"/>
        <scheme val="minor"/>
      </rPr>
      <t>and (not QualityOK(NotApplicableGandH) )</t>
    </r>
  </si>
  <si>
    <r>
      <t>QualityOK(H)|=QualityOK(item36)  And  QualityOK(item37)  And  QualityOK(item38)  And  QualityOK(item39)</t>
    </r>
    <r>
      <rPr>
        <b/>
        <sz val="11"/>
        <color rgb="FFC00000"/>
        <rFont val="Calibri"/>
        <family val="2"/>
        <scheme val="minor"/>
      </rPr>
      <t xml:space="preserve"> and (not QualityOK(NotApplicableGandH) )</t>
    </r>
  </si>
  <si>
    <t>QualityOK(ParasiteInfo) |= QualityOK(A)  And  (QualityOK(B)   AND QualityOK(C))  And  QualityOK(D)</t>
  </si>
  <si>
    <t xml:space="preserve">QualityOK(HostInfo) |= QualityOK(E)  AND  QualityOK(F) </t>
  </si>
  <si>
    <r>
      <t xml:space="preserve">QualityOK(EIProcessInfo) |= </t>
    </r>
    <r>
      <rPr>
        <sz val="11"/>
        <rFont val="Calibri"/>
        <family val="2"/>
        <scheme val="minor"/>
      </rPr>
      <t xml:space="preserve"> (QualityOK(G)  And  QualityOK(H) ) And  QualityOK(I)  And  QualityOK(J) </t>
    </r>
  </si>
  <si>
    <t>Must</t>
  </si>
  <si>
    <t>Not demanded</t>
  </si>
  <si>
    <t>Weight (%)</t>
  </si>
  <si>
    <t>ScoreOfRank</t>
  </si>
  <si>
    <t>Rank of Importance</t>
  </si>
  <si>
    <t>Score of Mandatory</t>
  </si>
  <si>
    <t>Domain Mandatory Requirement</t>
  </si>
  <si>
    <t>Score of Rank</t>
  </si>
  <si>
    <t>Not Demanded</t>
  </si>
  <si>
    <t>ScoreOfItem</t>
  </si>
  <si>
    <t>ScoreTotal</t>
  </si>
  <si>
    <t>OtherInterVariable</t>
  </si>
  <si>
    <t>ItemID</t>
  </si>
  <si>
    <t>ItemDescription</t>
  </si>
  <si>
    <t>DomainMandatory</t>
  </si>
  <si>
    <t>RankOfImportance</t>
  </si>
  <si>
    <t>StartRow</t>
  </si>
  <si>
    <t>EndRow</t>
  </si>
  <si>
    <t>QtyFullScore</t>
  </si>
  <si>
    <t>QtyWeight</t>
  </si>
  <si>
    <t>QtyFinalScore</t>
  </si>
  <si>
    <t>item</t>
  </si>
  <si>
    <t>Prefix</t>
  </si>
  <si>
    <t>Color</t>
  </si>
  <si>
    <t>QtyScoreBand</t>
  </si>
  <si>
    <t>MinScore</t>
  </si>
  <si>
    <t>MaxScore</t>
  </si>
  <si>
    <t>Red</t>
  </si>
  <si>
    <t>Yellow</t>
  </si>
  <si>
    <t>Green</t>
  </si>
  <si>
    <t>ss</t>
  </si>
  <si>
    <t>Please provide author name</t>
  </si>
  <si>
    <t>Please provide year</t>
  </si>
  <si>
    <t>$G$63</t>
  </si>
  <si>
    <t>$G$64</t>
  </si>
  <si>
    <t>$C$20</t>
  </si>
  <si>
    <t>$C$21</t>
  </si>
  <si>
    <t>$C$25</t>
  </si>
  <si>
    <t>$C$26</t>
  </si>
  <si>
    <t>$C$32</t>
  </si>
  <si>
    <t>$C$33</t>
  </si>
  <si>
    <t>$C$43</t>
  </si>
  <si>
    <t>$C$44</t>
  </si>
  <si>
    <t>$C$52</t>
  </si>
  <si>
    <t>$C$53</t>
  </si>
  <si>
    <t>$C$57</t>
  </si>
  <si>
    <t>$C$58</t>
  </si>
  <si>
    <t>$C$63</t>
  </si>
  <si>
    <t>$C$64</t>
  </si>
  <si>
    <t>Paper Information</t>
  </si>
  <si>
    <t>Paper Reviews</t>
  </si>
  <si>
    <t>listOfYear</t>
  </si>
  <si>
    <t>listOfParasite</t>
  </si>
  <si>
    <t>listOfDisease</t>
  </si>
  <si>
    <t>listOfModel</t>
  </si>
  <si>
    <t>PMID</t>
  </si>
  <si>
    <t>REVIEWNAME</t>
  </si>
  <si>
    <t>REVIEWVALUE</t>
  </si>
  <si>
    <t>Parasite</t>
  </si>
  <si>
    <t>Disease</t>
  </si>
  <si>
    <t>Model</t>
  </si>
  <si>
    <t>AUTHOR</t>
  </si>
  <si>
    <t>PUBLICATIONYEAR</t>
  </si>
  <si>
    <t>204</t>
  </si>
  <si>
    <t>QualityOK(item201) |= MainRule</t>
  </si>
  <si>
    <t>QualityOK(item202) |= MainRule</t>
  </si>
  <si>
    <t>QualityOK(item203) |= MainRule</t>
  </si>
  <si>
    <t>QualityOK(item204) |= MainRule</t>
  </si>
  <si>
    <t>QualityOK(item205) |= MainRule</t>
  </si>
  <si>
    <t>QualityOK(item206) |= MainRule</t>
  </si>
  <si>
    <t>QualityOK(E)|= QualityOK(item16)  And  QualityOK(item17)  And  QualityOK(item18)  And  QualityOK(item19) And QualityOK(item201)  And QualityOK(item202)   And QualityOK(item203) And QualityOK(item204) And QualityOK(item205)  And QualityOK(item206)  And QualityOK(item21)  and (not QualityOK(NotApplicableEandF) )</t>
  </si>
  <si>
    <t>item201</t>
  </si>
  <si>
    <t>item202</t>
  </si>
  <si>
    <t>item203</t>
  </si>
  <si>
    <t>item204</t>
  </si>
  <si>
    <t>item205</t>
  </si>
  <si>
    <t>item206</t>
  </si>
  <si>
    <t>QualityOK</t>
  </si>
  <si>
    <t>Kierstein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</si>
</sst>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8"/>
      <color theme="7" tint="0.39997558519241921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vertAlign val="superscript"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i/>
      <sz val="15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rgb="FFFF6699"/>
      </left>
      <right/>
      <top style="thick">
        <color rgb="FFFF6699"/>
      </top>
      <bottom/>
      <diagonal/>
    </border>
    <border>
      <left/>
      <right/>
      <top style="thick">
        <color rgb="FFFF6699"/>
      </top>
      <bottom/>
      <diagonal/>
    </border>
    <border>
      <left/>
      <right style="thick">
        <color rgb="FFFF6699"/>
      </right>
      <top style="thick">
        <color rgb="FFFF6699"/>
      </top>
      <bottom/>
      <diagonal/>
    </border>
    <border>
      <left style="thick">
        <color rgb="FFFF6699"/>
      </left>
      <right/>
      <top/>
      <bottom/>
      <diagonal/>
    </border>
    <border>
      <left/>
      <right style="thick">
        <color rgb="FFFF6699"/>
      </right>
      <top/>
      <bottom/>
      <diagonal/>
    </border>
    <border>
      <left style="thick">
        <color rgb="FFFF6699"/>
      </left>
      <right/>
      <top/>
      <bottom style="thick">
        <color rgb="FFFF6699"/>
      </bottom>
      <diagonal/>
    </border>
    <border>
      <left/>
      <right/>
      <top/>
      <bottom style="thick">
        <color rgb="FFFF6699"/>
      </bottom>
      <diagonal/>
    </border>
    <border>
      <left/>
      <right style="thick">
        <color rgb="FFFF6699"/>
      </right>
      <top/>
      <bottom style="thick">
        <color rgb="FFFF6699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8" fillId="2" borderId="3" applyNumberFormat="0" applyFont="0" applyAlignment="0" applyProtection="0"/>
    <xf numFmtId="0" fontId="8" fillId="0" borderId="0"/>
  </cellStyleXfs>
  <cellXfs count="300">
    <xf numFmtId="0" fontId="0" fillId="0" borderId="0" xfId="0"/>
    <xf numFmtId="0" fontId="0" fillId="0" borderId="0" xfId="0" applyFont="1" applyAlignment="1">
      <alignment wrapText="1"/>
    </xf>
    <xf numFmtId="0" fontId="0" fillId="3" borderId="0" xfId="0" applyFill="1"/>
    <xf numFmtId="0" fontId="0" fillId="3" borderId="0" xfId="0" applyFill="1" applyAlignment="1">
      <alignment wrapText="1"/>
    </xf>
    <xf numFmtId="0" fontId="0" fillId="7" borderId="0" xfId="0" applyFill="1"/>
    <xf numFmtId="0" fontId="1" fillId="4" borderId="0" xfId="0" applyFont="1" applyFill="1" applyAlignment="1" applyProtection="1">
      <alignment readingOrder="1"/>
      <protection locked="0"/>
    </xf>
    <xf numFmtId="0" fontId="1" fillId="4" borderId="0" xfId="0" applyFont="1" applyFill="1" applyAlignment="1" applyProtection="1">
      <alignment horizontal="center" readingOrder="1"/>
      <protection locked="0"/>
    </xf>
    <xf numFmtId="0" fontId="0" fillId="4" borderId="0" xfId="0" applyFill="1" applyAlignment="1" applyProtection="1">
      <alignment readingOrder="1"/>
      <protection locked="0"/>
    </xf>
    <xf numFmtId="0" fontId="0" fillId="0" borderId="0" xfId="0" applyAlignment="1" applyProtection="1">
      <alignment wrapText="1" readingOrder="1"/>
      <protection locked="0"/>
    </xf>
    <xf numFmtId="0" fontId="2" fillId="0" borderId="0" xfId="0" applyFont="1" applyAlignment="1" applyProtection="1">
      <alignment readingOrder="1"/>
      <protection locked="0"/>
    </xf>
    <xf numFmtId="0" fontId="0" fillId="4" borderId="0" xfId="0" applyFill="1" applyAlignment="1" applyProtection="1">
      <alignment wrapText="1" readingOrder="1"/>
      <protection locked="0"/>
    </xf>
    <xf numFmtId="0" fontId="2" fillId="0" borderId="0" xfId="0" applyFont="1" applyAlignment="1" applyProtection="1">
      <alignment wrapText="1" readingOrder="1"/>
      <protection locked="0"/>
    </xf>
    <xf numFmtId="0" fontId="1" fillId="0" borderId="0" xfId="0" applyFont="1" applyProtection="1"/>
    <xf numFmtId="0" fontId="1" fillId="0" borderId="0" xfId="0" applyFont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Protection="1"/>
    <xf numFmtId="0" fontId="3" fillId="0" borderId="0" xfId="0" applyFont="1" applyAlignment="1" applyProtection="1">
      <alignment vertical="top"/>
    </xf>
    <xf numFmtId="0" fontId="2" fillId="0" borderId="0" xfId="0" applyFont="1" applyAlignment="1" applyProtection="1">
      <alignment vertical="top"/>
    </xf>
    <xf numFmtId="0" fontId="4" fillId="0" borderId="0" xfId="0" applyFont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top"/>
    </xf>
    <xf numFmtId="0" fontId="5" fillId="0" borderId="0" xfId="0" applyFont="1" applyAlignment="1" applyProtection="1">
      <alignment vertical="top" wrapText="1"/>
    </xf>
    <xf numFmtId="0" fontId="2" fillId="0" borderId="0" xfId="0" applyFont="1" applyAlignment="1" applyProtection="1">
      <alignment vertical="top" wrapText="1"/>
    </xf>
    <xf numFmtId="0" fontId="1" fillId="8" borderId="0" xfId="0" applyFont="1" applyFill="1" applyProtection="1"/>
    <xf numFmtId="0" fontId="1" fillId="8" borderId="0" xfId="0" applyFont="1" applyFill="1" applyAlignment="1" applyProtection="1">
      <alignment horizontal="left" wrapText="1"/>
    </xf>
    <xf numFmtId="0" fontId="0" fillId="8" borderId="0" xfId="0" applyFill="1" applyAlignment="1" applyProtection="1">
      <alignment wrapText="1"/>
    </xf>
    <xf numFmtId="0" fontId="0" fillId="8" borderId="0" xfId="0" applyFill="1" applyProtection="1"/>
    <xf numFmtId="0" fontId="1" fillId="9" borderId="0" xfId="0" applyFont="1" applyFill="1" applyAlignment="1" applyProtection="1">
      <alignment horizontal="left" wrapText="1"/>
    </xf>
    <xf numFmtId="0" fontId="22" fillId="0" borderId="0" xfId="0" applyFont="1" applyFill="1" applyAlignment="1" applyProtection="1">
      <alignment readingOrder="1"/>
      <protection locked="0"/>
    </xf>
    <xf numFmtId="0" fontId="16" fillId="0" borderId="14" xfId="0" applyFont="1" applyFill="1" applyBorder="1" applyAlignment="1" applyProtection="1">
      <alignment horizontal="left" vertical="center" wrapText="1" readingOrder="1"/>
      <protection locked="0"/>
    </xf>
    <xf numFmtId="0" fontId="17" fillId="0" borderId="14" xfId="0" applyFont="1" applyFill="1" applyBorder="1" applyAlignment="1" applyProtection="1">
      <alignment horizontal="center" vertical="center" wrapText="1" readingOrder="1"/>
    </xf>
    <xf numFmtId="0" fontId="15" fillId="0" borderId="13" xfId="0" applyFont="1" applyBorder="1" applyAlignment="1" applyProtection="1">
      <alignment wrapText="1" readingOrder="1"/>
    </xf>
    <xf numFmtId="0" fontId="15" fillId="0" borderId="14" xfId="0" applyFont="1" applyBorder="1" applyAlignment="1" applyProtection="1">
      <alignment wrapText="1" readingOrder="1"/>
    </xf>
    <xf numFmtId="0" fontId="15" fillId="0" borderId="15" xfId="0" applyFont="1" applyBorder="1" applyAlignment="1" applyProtection="1">
      <alignment wrapText="1" readingOrder="1"/>
    </xf>
    <xf numFmtId="0" fontId="7" fillId="4" borderId="0" xfId="0" applyFont="1" applyFill="1" applyBorder="1" applyAlignment="1" applyProtection="1">
      <alignment wrapText="1" readingOrder="1"/>
    </xf>
    <xf numFmtId="0" fontId="15" fillId="0" borderId="13" xfId="0" applyFont="1" applyFill="1" applyBorder="1" applyAlignment="1" applyProtection="1">
      <alignment wrapText="1" readingOrder="1"/>
    </xf>
    <xf numFmtId="0" fontId="15" fillId="0" borderId="14" xfId="0" applyFont="1" applyFill="1" applyBorder="1" applyAlignment="1" applyProtection="1">
      <alignment wrapText="1" readingOrder="1"/>
    </xf>
    <xf numFmtId="0" fontId="15" fillId="0" borderId="15" xfId="0" applyFont="1" applyFill="1" applyBorder="1" applyAlignment="1" applyProtection="1">
      <alignment wrapText="1" readingOrder="1"/>
    </xf>
    <xf numFmtId="0" fontId="24" fillId="13" borderId="12" xfId="0" applyFont="1" applyFill="1" applyBorder="1" applyAlignment="1" applyProtection="1">
      <alignment horizontal="center" vertical="center" wrapText="1"/>
    </xf>
    <xf numFmtId="0" fontId="17" fillId="0" borderId="13" xfId="0" applyFont="1" applyFill="1" applyBorder="1" applyAlignment="1" applyProtection="1">
      <alignment horizontal="center" vertical="center" wrapText="1" readingOrder="1"/>
    </xf>
    <xf numFmtId="0" fontId="17" fillId="0" borderId="19" xfId="0" applyFont="1" applyFill="1" applyBorder="1" applyAlignment="1" applyProtection="1">
      <alignment horizontal="center" vertical="center" wrapText="1" readingOrder="1"/>
    </xf>
    <xf numFmtId="0" fontId="17" fillId="0" borderId="26" xfId="0" applyFont="1" applyFill="1" applyBorder="1" applyAlignment="1" applyProtection="1">
      <alignment horizontal="center" vertical="center" wrapText="1" readingOrder="1"/>
    </xf>
    <xf numFmtId="0" fontId="15" fillId="0" borderId="2" xfId="0" applyFont="1" applyFill="1" applyBorder="1" applyAlignment="1" applyProtection="1">
      <alignment horizontal="center" vertical="center" wrapText="1" readingOrder="1"/>
    </xf>
    <xf numFmtId="0" fontId="15" fillId="0" borderId="12" xfId="0" applyFont="1" applyFill="1" applyBorder="1" applyAlignment="1" applyProtection="1">
      <alignment horizontal="center" wrapText="1" readingOrder="1"/>
    </xf>
    <xf numFmtId="0" fontId="17" fillId="0" borderId="12" xfId="0" applyFont="1" applyFill="1" applyBorder="1" applyAlignment="1" applyProtection="1">
      <alignment horizontal="center" vertical="center" wrapText="1" readingOrder="1"/>
    </xf>
    <xf numFmtId="0" fontId="15" fillId="0" borderId="12" xfId="0" applyFont="1" applyFill="1" applyBorder="1" applyAlignment="1" applyProtection="1">
      <alignment horizontal="center" vertical="center" wrapText="1" readingOrder="1"/>
    </xf>
    <xf numFmtId="0" fontId="1" fillId="4" borderId="0" xfId="0" applyFont="1" applyFill="1" applyAlignment="1" applyProtection="1">
      <alignment wrapText="1" readingOrder="1"/>
    </xf>
    <xf numFmtId="0" fontId="1" fillId="4" borderId="0" xfId="0" applyFont="1" applyFill="1" applyAlignment="1" applyProtection="1">
      <alignment horizontal="center" wrapText="1" readingOrder="1"/>
    </xf>
    <xf numFmtId="0" fontId="0" fillId="4" borderId="0" xfId="0" applyFont="1" applyFill="1" applyAlignment="1" applyProtection="1">
      <alignment wrapText="1" readingOrder="1"/>
    </xf>
    <xf numFmtId="0" fontId="0" fillId="4" borderId="0" xfId="0" applyFill="1" applyAlignment="1" applyProtection="1">
      <alignment wrapText="1" readingOrder="1"/>
    </xf>
    <xf numFmtId="0" fontId="12" fillId="10" borderId="8" xfId="0" applyFont="1" applyFill="1" applyBorder="1" applyAlignment="1" applyProtection="1">
      <alignment horizontal="center" vertical="center" readingOrder="1"/>
    </xf>
    <xf numFmtId="0" fontId="23" fillId="13" borderId="30" xfId="0" applyFont="1" applyFill="1" applyBorder="1" applyAlignment="1" applyProtection="1">
      <alignment horizontal="center" vertical="center" readingOrder="1"/>
    </xf>
    <xf numFmtId="0" fontId="25" fillId="0" borderId="6" xfId="0" applyFont="1" applyFill="1" applyBorder="1" applyAlignment="1" applyProtection="1">
      <alignment horizontal="center" vertical="center" readingOrder="1"/>
    </xf>
    <xf numFmtId="0" fontId="24" fillId="13" borderId="12" xfId="0" applyFont="1" applyFill="1" applyBorder="1" applyAlignment="1" applyProtection="1">
      <alignment horizontal="center" vertical="center" wrapText="1" readingOrder="1"/>
    </xf>
    <xf numFmtId="0" fontId="12" fillId="0" borderId="0" xfId="0" applyFont="1" applyFill="1" applyBorder="1" applyAlignment="1" applyProtection="1">
      <alignment horizontal="center" vertical="center" readingOrder="1"/>
    </xf>
    <xf numFmtId="0" fontId="1" fillId="4" borderId="0" xfId="0" applyFont="1" applyFill="1" applyBorder="1" applyAlignment="1" applyProtection="1">
      <alignment horizontal="center" readingOrder="1"/>
    </xf>
    <xf numFmtId="0" fontId="25" fillId="12" borderId="0" xfId="0" applyFont="1" applyFill="1" applyAlignment="1" applyProtection="1">
      <alignment horizontal="center" readingOrder="1"/>
    </xf>
    <xf numFmtId="0" fontId="15" fillId="0" borderId="14" xfId="0" applyFont="1" applyFill="1" applyBorder="1" applyAlignment="1" applyProtection="1">
      <alignment horizontal="center" vertical="center" readingOrder="1"/>
    </xf>
    <xf numFmtId="0" fontId="15" fillId="0" borderId="14" xfId="0" applyFont="1" applyFill="1" applyBorder="1" applyAlignment="1" applyProtection="1">
      <alignment horizontal="center" vertical="center" wrapText="1" readingOrder="1"/>
    </xf>
    <xf numFmtId="0" fontId="15" fillId="0" borderId="15" xfId="0" applyFont="1" applyFill="1" applyBorder="1" applyAlignment="1" applyProtection="1">
      <alignment horizontal="center" vertical="center" readingOrder="1"/>
    </xf>
    <xf numFmtId="0" fontId="26" fillId="0" borderId="13" xfId="0" applyFont="1" applyFill="1" applyBorder="1" applyAlignment="1" applyProtection="1">
      <alignment horizontal="center" vertical="center" wrapText="1" readingOrder="1"/>
    </xf>
    <xf numFmtId="0" fontId="26" fillId="0" borderId="14" xfId="0" applyFont="1" applyFill="1" applyBorder="1" applyAlignment="1" applyProtection="1">
      <alignment horizontal="center" vertical="center" wrapText="1" readingOrder="1"/>
    </xf>
    <xf numFmtId="0" fontId="26" fillId="0" borderId="19" xfId="0" applyFont="1" applyFill="1" applyBorder="1" applyAlignment="1" applyProtection="1">
      <alignment horizontal="center" vertical="center" wrapText="1" readingOrder="1"/>
    </xf>
    <xf numFmtId="0" fontId="26" fillId="0" borderId="26" xfId="0" applyFont="1" applyFill="1" applyBorder="1" applyAlignment="1" applyProtection="1">
      <alignment horizontal="center" vertical="center" wrapText="1" readingOrder="1"/>
    </xf>
    <xf numFmtId="0" fontId="26" fillId="0" borderId="12" xfId="0" applyFont="1" applyFill="1" applyBorder="1" applyAlignment="1" applyProtection="1">
      <alignment horizontal="center" vertical="center" wrapText="1" readingOrder="1"/>
    </xf>
    <xf numFmtId="0" fontId="15" fillId="0" borderId="13" xfId="0" applyFont="1" applyFill="1" applyBorder="1" applyAlignment="1" applyProtection="1">
      <alignment horizontal="center" vertical="center" wrapText="1" readingOrder="1"/>
    </xf>
    <xf numFmtId="0" fontId="26" fillId="0" borderId="28" xfId="0" applyFont="1" applyFill="1" applyBorder="1" applyAlignment="1" applyProtection="1">
      <alignment horizontal="center" vertical="center" wrapText="1" readingOrder="1"/>
    </xf>
    <xf numFmtId="0" fontId="26" fillId="0" borderId="29" xfId="0" applyFont="1" applyFill="1" applyBorder="1" applyAlignment="1" applyProtection="1">
      <alignment horizontal="center" vertical="center" wrapText="1" readingOrder="1"/>
    </xf>
    <xf numFmtId="0" fontId="26" fillId="0" borderId="9" xfId="0" applyFont="1" applyFill="1" applyBorder="1" applyAlignment="1" applyProtection="1">
      <alignment horizontal="center" vertical="center" wrapText="1" readingOrder="1"/>
    </xf>
    <xf numFmtId="0" fontId="1" fillId="4" borderId="0" xfId="0" applyFont="1" applyFill="1" applyAlignment="1" applyProtection="1">
      <alignment horizontal="center" readingOrder="1"/>
    </xf>
    <xf numFmtId="0" fontId="17" fillId="0" borderId="13" xfId="0" applyFont="1" applyFill="1" applyBorder="1" applyAlignment="1" applyProtection="1">
      <alignment horizontal="center" vertical="center" wrapText="1" readingOrder="1"/>
      <protection locked="0"/>
    </xf>
    <xf numFmtId="0" fontId="17" fillId="0" borderId="14" xfId="0" applyFont="1" applyFill="1" applyBorder="1" applyAlignment="1" applyProtection="1">
      <alignment horizontal="center" vertical="center" wrapText="1" readingOrder="1"/>
      <protection locked="0"/>
    </xf>
    <xf numFmtId="0" fontId="26" fillId="0" borderId="18" xfId="0" applyFont="1" applyFill="1" applyBorder="1" applyAlignment="1" applyProtection="1">
      <alignment horizontal="center" vertical="center" wrapText="1" readingOrder="1"/>
    </xf>
    <xf numFmtId="0" fontId="8" fillId="0" borderId="0" xfId="2"/>
    <xf numFmtId="0" fontId="17" fillId="0" borderId="19" xfId="0" applyFont="1" applyFill="1" applyBorder="1" applyAlignment="1" applyProtection="1">
      <alignment horizontal="center" vertical="center" wrapText="1" readingOrder="1"/>
      <protection locked="0"/>
    </xf>
    <xf numFmtId="0" fontId="17" fillId="0" borderId="26" xfId="0" applyFont="1" applyFill="1" applyBorder="1" applyAlignment="1" applyProtection="1">
      <alignment horizontal="center" vertical="center" wrapText="1" readingOrder="1"/>
      <protection locked="0"/>
    </xf>
    <xf numFmtId="0" fontId="17" fillId="0" borderId="12" xfId="0" applyFont="1" applyFill="1" applyBorder="1" applyAlignment="1" applyProtection="1">
      <alignment horizontal="center" vertical="center" wrapText="1" readingOrder="1"/>
      <protection locked="0"/>
    </xf>
    <xf numFmtId="0" fontId="16" fillId="0" borderId="13" xfId="0" applyFont="1" applyFill="1" applyBorder="1" applyAlignment="1" applyProtection="1">
      <alignment horizontal="center" vertical="center" wrapText="1" readingOrder="1"/>
      <protection locked="0"/>
    </xf>
    <xf numFmtId="0" fontId="17" fillId="0" borderId="28" xfId="0" applyFont="1" applyFill="1" applyBorder="1" applyAlignment="1" applyProtection="1">
      <alignment horizontal="center" vertical="center" wrapText="1" readingOrder="1"/>
      <protection locked="0"/>
    </xf>
    <xf numFmtId="0" fontId="17" fillId="0" borderId="29" xfId="0" applyFont="1" applyFill="1" applyBorder="1" applyAlignment="1" applyProtection="1">
      <alignment horizontal="center" vertical="center" wrapText="1" readingOrder="1"/>
      <protection locked="0"/>
    </xf>
    <xf numFmtId="0" fontId="17" fillId="0" borderId="9" xfId="0" applyFont="1" applyFill="1" applyBorder="1" applyAlignment="1" applyProtection="1">
      <alignment horizontal="center" vertical="center" wrapText="1" readingOrder="1"/>
      <protection locked="0"/>
    </xf>
    <xf numFmtId="0" fontId="17" fillId="0" borderId="17" xfId="0" applyFont="1" applyFill="1" applyBorder="1" applyAlignment="1" applyProtection="1">
      <alignment horizontal="center" vertical="center" wrapText="1" readingOrder="1"/>
      <protection locked="0"/>
    </xf>
    <xf numFmtId="0" fontId="17" fillId="0" borderId="15" xfId="0" applyFont="1" applyFill="1" applyBorder="1" applyAlignment="1" applyProtection="1">
      <alignment horizontal="center" vertical="center" wrapText="1" readingOrder="1"/>
      <protection locked="0"/>
    </xf>
    <xf numFmtId="0" fontId="1" fillId="0" borderId="0" xfId="0" applyFont="1" applyFill="1" applyBorder="1" applyAlignment="1" applyProtection="1">
      <alignment horizontal="center" readingOrder="1"/>
    </xf>
    <xf numFmtId="0" fontId="0" fillId="0" borderId="0" xfId="0" applyAlignment="1" applyProtection="1">
      <alignment horizontal="center" vertical="center" wrapText="1"/>
    </xf>
    <xf numFmtId="0" fontId="0" fillId="5" borderId="4" xfId="0" applyFill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 wrapText="1" readingOrder="1"/>
    </xf>
    <xf numFmtId="0" fontId="0" fillId="0" borderId="0" xfId="0" applyAlignment="1" applyProtection="1">
      <alignment horizontal="left" vertical="center" wrapText="1" readingOrder="1"/>
    </xf>
    <xf numFmtId="0" fontId="0" fillId="0" borderId="0" xfId="0" applyAlignment="1" applyProtection="1">
      <alignment readingOrder="1"/>
    </xf>
    <xf numFmtId="0" fontId="0" fillId="0" borderId="0" xfId="0" applyAlignment="1" applyProtection="1">
      <alignment wrapText="1" readingOrder="1"/>
    </xf>
    <xf numFmtId="0" fontId="10" fillId="0" borderId="0" xfId="0" applyFont="1" applyAlignment="1" applyProtection="1">
      <alignment horizontal="center" vertical="center" wrapText="1" readingOrder="1"/>
    </xf>
    <xf numFmtId="0" fontId="0" fillId="0" borderId="0" xfId="0" applyAlignment="1" applyProtection="1">
      <alignment vertical="center" wrapText="1" readingOrder="1"/>
    </xf>
    <xf numFmtId="0" fontId="11" fillId="0" borderId="0" xfId="0" applyFont="1" applyProtection="1"/>
    <xf numFmtId="0" fontId="0" fillId="0" borderId="0" xfId="0" applyFont="1" applyAlignment="1" applyProtection="1">
      <alignment wrapText="1"/>
    </xf>
    <xf numFmtId="0" fontId="29" fillId="6" borderId="0" xfId="0" applyFont="1" applyFill="1" applyAlignment="1" applyProtection="1">
      <alignment horizontal="center" wrapText="1"/>
    </xf>
    <xf numFmtId="0" fontId="0" fillId="16" borderId="0" xfId="0" applyFill="1" applyAlignment="1" applyProtection="1">
      <alignment wrapText="1"/>
    </xf>
    <xf numFmtId="0" fontId="22" fillId="0" borderId="0" xfId="0" applyFont="1" applyAlignment="1" applyProtection="1">
      <alignment wrapText="1"/>
    </xf>
    <xf numFmtId="0" fontId="0" fillId="0" borderId="0" xfId="0" applyFont="1" applyFill="1" applyAlignment="1" applyProtection="1">
      <alignment wrapText="1"/>
    </xf>
    <xf numFmtId="0" fontId="12" fillId="10" borderId="8" xfId="0" applyFont="1" applyFill="1" applyBorder="1" applyAlignment="1" applyProtection="1">
      <alignment horizontal="center" vertical="center" wrapText="1" readingOrder="1"/>
    </xf>
    <xf numFmtId="0" fontId="23" fillId="13" borderId="30" xfId="0" applyFont="1" applyFill="1" applyBorder="1" applyAlignment="1" applyProtection="1">
      <alignment horizontal="center" vertical="center" wrapText="1" readingOrder="1"/>
    </xf>
    <xf numFmtId="0" fontId="2" fillId="0" borderId="6" xfId="0" applyFont="1" applyFill="1" applyBorder="1" applyAlignment="1" applyProtection="1">
      <alignment vertical="center" wrapText="1" readingOrder="1"/>
    </xf>
    <xf numFmtId="0" fontId="16" fillId="0" borderId="15" xfId="0" applyFont="1" applyFill="1" applyBorder="1" applyAlignment="1" applyProtection="1">
      <alignment horizontal="left" vertical="center" wrapText="1" readingOrder="1"/>
      <protection locked="0"/>
    </xf>
    <xf numFmtId="0" fontId="1" fillId="0" borderId="0" xfId="0" applyFont="1" applyFill="1" applyBorder="1" applyAlignment="1" applyProtection="1">
      <alignment wrapText="1" readingOrder="1"/>
    </xf>
    <xf numFmtId="0" fontId="15" fillId="15" borderId="13" xfId="0" quotePrefix="1" applyFont="1" applyFill="1" applyBorder="1" applyAlignment="1" applyProtection="1">
      <alignment horizontal="center" vertical="center" readingOrder="1"/>
    </xf>
    <xf numFmtId="0" fontId="15" fillId="0" borderId="0" xfId="0" applyFont="1" applyFill="1" applyBorder="1" applyAlignment="1" applyProtection="1">
      <alignment horizontal="center" vertical="center" wrapText="1" readingOrder="1"/>
    </xf>
    <xf numFmtId="0" fontId="17" fillId="0" borderId="17" xfId="0" applyFont="1" applyFill="1" applyBorder="1" applyAlignment="1" applyProtection="1">
      <alignment vertical="center" wrapText="1" readingOrder="1"/>
      <protection locked="0"/>
    </xf>
    <xf numFmtId="0" fontId="0" fillId="0" borderId="0" xfId="0" applyAlignment="1">
      <alignment horizontal="center"/>
    </xf>
    <xf numFmtId="0" fontId="17" fillId="0" borderId="18" xfId="0" applyFont="1" applyFill="1" applyBorder="1" applyAlignment="1" applyProtection="1">
      <alignment vertical="center" wrapText="1" readingOrder="1"/>
      <protection locked="0"/>
    </xf>
    <xf numFmtId="0" fontId="17" fillId="0" borderId="19" xfId="0" applyFont="1" applyFill="1" applyBorder="1" applyAlignment="1" applyProtection="1">
      <alignment vertical="center" wrapText="1" readingOrder="1"/>
      <protection locked="0"/>
    </xf>
    <xf numFmtId="0" fontId="17" fillId="0" borderId="18" xfId="0" applyFont="1" applyFill="1" applyBorder="1" applyAlignment="1" applyProtection="1">
      <alignment horizontal="left" vertical="center" wrapText="1" readingOrder="1"/>
      <protection locked="0"/>
    </xf>
    <xf numFmtId="0" fontId="17" fillId="0" borderId="19" xfId="0" applyFont="1" applyFill="1" applyBorder="1" applyAlignment="1" applyProtection="1">
      <alignment horizontal="left" vertical="center" wrapText="1" readingOrder="1"/>
      <protection locked="0"/>
    </xf>
    <xf numFmtId="0" fontId="15" fillId="0" borderId="12" xfId="0" applyFont="1" applyFill="1" applyBorder="1" applyAlignment="1" applyProtection="1">
      <alignment horizontal="center" wrapText="1" readingOrder="1"/>
      <protection locked="0"/>
    </xf>
    <xf numFmtId="0" fontId="17" fillId="0" borderId="12" xfId="0" applyFont="1" applyFill="1" applyBorder="1" applyAlignment="1" applyProtection="1">
      <alignment vertical="center" wrapText="1" readingOrder="1"/>
      <protection locked="0"/>
    </xf>
    <xf numFmtId="0" fontId="15" fillId="0" borderId="12" xfId="0" applyFont="1" applyFill="1" applyBorder="1" applyAlignment="1" applyProtection="1">
      <alignment horizontal="center" vertical="center" wrapText="1" readingOrder="1"/>
      <protection locked="0"/>
    </xf>
    <xf numFmtId="0" fontId="24" fillId="13" borderId="12" xfId="0" applyFont="1" applyFill="1" applyBorder="1" applyAlignment="1" applyProtection="1">
      <alignment horizontal="center" vertical="center" readingOrder="1"/>
      <protection locked="0"/>
    </xf>
    <xf numFmtId="0" fontId="17" fillId="0" borderId="17" xfId="0" applyFont="1" applyFill="1" applyBorder="1" applyAlignment="1" applyProtection="1">
      <alignment horizontal="center" vertical="center" readingOrder="1"/>
      <protection locked="0"/>
    </xf>
    <xf numFmtId="0" fontId="0" fillId="0" borderId="0" xfId="0" applyAlignment="1">
      <alignment horizontal="center" readingOrder="1"/>
    </xf>
    <xf numFmtId="0" fontId="17" fillId="0" borderId="18" xfId="0" applyFont="1" applyFill="1" applyBorder="1" applyAlignment="1" applyProtection="1">
      <alignment horizontal="center" vertical="center" readingOrder="1"/>
      <protection locked="0"/>
    </xf>
    <xf numFmtId="0" fontId="17" fillId="0" borderId="19" xfId="0" applyFont="1" applyFill="1" applyBorder="1" applyAlignment="1" applyProtection="1">
      <alignment horizontal="center" vertical="center" readingOrder="1"/>
      <protection locked="0"/>
    </xf>
    <xf numFmtId="0" fontId="17" fillId="0" borderId="12" xfId="0" applyFont="1" applyFill="1" applyBorder="1" applyAlignment="1" applyProtection="1">
      <alignment horizontal="center" vertical="center" readingOrder="1"/>
      <protection locked="0"/>
    </xf>
    <xf numFmtId="0" fontId="17" fillId="0" borderId="18" xfId="0" applyFont="1" applyFill="1" applyBorder="1" applyAlignment="1" applyProtection="1">
      <alignment horizontal="center" vertical="center" readingOrder="1"/>
    </xf>
    <xf numFmtId="0" fontId="25" fillId="0" borderId="4" xfId="0" applyFont="1" applyFill="1" applyBorder="1" applyAlignment="1">
      <alignment horizontal="center" vertical="center" wrapText="1"/>
    </xf>
    <xf numFmtId="2" fontId="31" fillId="0" borderId="0" xfId="0" applyNumberFormat="1" applyFont="1" applyAlignment="1">
      <alignment horizontal="center"/>
    </xf>
    <xf numFmtId="1" fontId="31" fillId="0" borderId="0" xfId="0" applyNumberFormat="1" applyFont="1" applyAlignment="1">
      <alignment horizontal="center"/>
    </xf>
    <xf numFmtId="0" fontId="25" fillId="0" borderId="0" xfId="0" applyFont="1" applyFill="1" applyAlignment="1">
      <alignment horizontal="center" vertical="center" wrapText="1"/>
    </xf>
    <xf numFmtId="0" fontId="24" fillId="13" borderId="5" xfId="0" applyFont="1" applyFill="1" applyBorder="1" applyAlignment="1" applyProtection="1">
      <alignment horizontal="center" vertical="center" wrapText="1" readingOrder="1"/>
      <protection locked="0"/>
    </xf>
    <xf numFmtId="0" fontId="0" fillId="0" borderId="0" xfId="0" applyAlignment="1">
      <alignment wrapText="1"/>
    </xf>
    <xf numFmtId="0" fontId="32" fillId="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25" fillId="12" borderId="34" xfId="0" applyFont="1" applyFill="1" applyBorder="1" applyAlignment="1">
      <alignment horizontal="center" vertical="center" readingOrder="1"/>
    </xf>
    <xf numFmtId="0" fontId="25" fillId="10" borderId="34" xfId="0" applyFont="1" applyFill="1" applyBorder="1" applyAlignment="1">
      <alignment horizontal="center" vertical="center" wrapText="1" readingOrder="1"/>
    </xf>
    <xf numFmtId="0" fontId="25" fillId="11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readingOrder="1"/>
    </xf>
    <xf numFmtId="0" fontId="0" fillId="0" borderId="8" xfId="0" applyBorder="1" applyAlignment="1">
      <alignment horizontal="center" readingOrder="1"/>
    </xf>
    <xf numFmtId="0" fontId="0" fillId="0" borderId="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 readingOrder="1"/>
    </xf>
    <xf numFmtId="0" fontId="0" fillId="0" borderId="0" xfId="0" applyBorder="1" applyAlignment="1">
      <alignment horizontal="center" readingOrder="1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" xfId="0" applyBorder="1" applyAlignment="1">
      <alignment horizontal="center" readingOrder="1"/>
    </xf>
    <xf numFmtId="0" fontId="0" fillId="0" borderId="2" xfId="0" applyBorder="1" applyAlignment="1">
      <alignment horizontal="center" readingOrder="1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 readingOrder="1"/>
    </xf>
    <xf numFmtId="0" fontId="0" fillId="0" borderId="6" xfId="0" applyBorder="1" applyAlignment="1">
      <alignment horizontal="center" readingOrder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17" borderId="8" xfId="0" applyFill="1" applyBorder="1"/>
    <xf numFmtId="0" fontId="0" fillId="17" borderId="8" xfId="0" applyFill="1" applyBorder="1" applyAlignment="1">
      <alignment horizontal="center"/>
    </xf>
    <xf numFmtId="0" fontId="0" fillId="17" borderId="36" xfId="0" applyFill="1" applyBorder="1" applyAlignment="1">
      <alignment horizontal="center"/>
    </xf>
    <xf numFmtId="0" fontId="0" fillId="17" borderId="0" xfId="0" applyFill="1" applyBorder="1"/>
    <xf numFmtId="0" fontId="0" fillId="17" borderId="38" xfId="0" applyFill="1" applyBorder="1" applyAlignment="1">
      <alignment horizontal="center"/>
    </xf>
    <xf numFmtId="0" fontId="0" fillId="16" borderId="0" xfId="0" applyFill="1"/>
    <xf numFmtId="0" fontId="0" fillId="16" borderId="0" xfId="0" applyFill="1" applyAlignment="1">
      <alignment horizontal="center"/>
    </xf>
    <xf numFmtId="0" fontId="0" fillId="7" borderId="0" xfId="0" applyFill="1" applyBorder="1"/>
    <xf numFmtId="0" fontId="0" fillId="17" borderId="40" xfId="0" applyFill="1" applyBorder="1"/>
    <xf numFmtId="0" fontId="0" fillId="17" borderId="41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18" borderId="45" xfId="0" applyFill="1" applyBorder="1"/>
    <xf numFmtId="0" fontId="0" fillId="18" borderId="46" xfId="0" applyFill="1" applyBorder="1" applyAlignment="1">
      <alignment horizontal="center"/>
    </xf>
    <xf numFmtId="0" fontId="0" fillId="7" borderId="48" xfId="0" applyFill="1" applyBorder="1"/>
    <xf numFmtId="0" fontId="0" fillId="7" borderId="49" xfId="0" applyFill="1" applyBorder="1" applyAlignment="1">
      <alignment horizontal="center"/>
    </xf>
    <xf numFmtId="0" fontId="0" fillId="7" borderId="11" xfId="0" applyFill="1" applyBorder="1"/>
    <xf numFmtId="0" fontId="0" fillId="7" borderId="51" xfId="0" applyFill="1" applyBorder="1" applyAlignment="1">
      <alignment horizontal="center"/>
    </xf>
    <xf numFmtId="0" fontId="0" fillId="18" borderId="48" xfId="0" applyFill="1" applyBorder="1"/>
    <xf numFmtId="0" fontId="0" fillId="18" borderId="49" xfId="0" applyFill="1" applyBorder="1" applyAlignment="1">
      <alignment horizontal="center"/>
    </xf>
    <xf numFmtId="0" fontId="0" fillId="18" borderId="0" xfId="0" applyFill="1" applyBorder="1"/>
    <xf numFmtId="0" fontId="0" fillId="18" borderId="9" xfId="0" applyFill="1" applyBorder="1" applyAlignment="1">
      <alignment horizontal="center"/>
    </xf>
    <xf numFmtId="0" fontId="0" fillId="17" borderId="35" xfId="0" applyFill="1" applyBorder="1" applyAlignment="1">
      <alignment horizontal="center" readingOrder="1"/>
    </xf>
    <xf numFmtId="0" fontId="0" fillId="17" borderId="37" xfId="0" applyFill="1" applyBorder="1" applyAlignment="1">
      <alignment horizontal="center" readingOrder="1"/>
    </xf>
    <xf numFmtId="0" fontId="0" fillId="7" borderId="47" xfId="0" applyFill="1" applyBorder="1" applyAlignment="1">
      <alignment horizontal="center" readingOrder="1"/>
    </xf>
    <xf numFmtId="0" fontId="0" fillId="7" borderId="50" xfId="0" applyFill="1" applyBorder="1" applyAlignment="1">
      <alignment horizontal="center" readingOrder="1"/>
    </xf>
    <xf numFmtId="0" fontId="0" fillId="18" borderId="47" xfId="0" applyFill="1" applyBorder="1" applyAlignment="1">
      <alignment horizontal="center" readingOrder="1"/>
    </xf>
    <xf numFmtId="0" fontId="0" fillId="18" borderId="10" xfId="0" applyFill="1" applyBorder="1" applyAlignment="1">
      <alignment horizontal="center" readingOrder="1"/>
    </xf>
    <xf numFmtId="0" fontId="0" fillId="17" borderId="39" xfId="0" applyFill="1" applyBorder="1" applyAlignment="1">
      <alignment horizontal="center" readingOrder="1"/>
    </xf>
    <xf numFmtId="0" fontId="0" fillId="7" borderId="42" xfId="0" applyFill="1" applyBorder="1" applyAlignment="1">
      <alignment horizontal="center" readingOrder="1"/>
    </xf>
    <xf numFmtId="0" fontId="0" fillId="18" borderId="44" xfId="0" applyFill="1" applyBorder="1" applyAlignment="1">
      <alignment horizontal="center" readingOrder="1"/>
    </xf>
    <xf numFmtId="0" fontId="0" fillId="16" borderId="0" xfId="0" applyFill="1" applyAlignment="1">
      <alignment horizontal="center" readingOrder="1"/>
    </xf>
    <xf numFmtId="0" fontId="15" fillId="12" borderId="0" xfId="0" applyFont="1" applyFill="1" applyBorder="1" applyAlignment="1" applyProtection="1">
      <alignment horizontal="center" vertical="center" textRotation="90" readingOrder="1"/>
      <protection locked="0"/>
    </xf>
    <xf numFmtId="0" fontId="15" fillId="0" borderId="0" xfId="0" applyFont="1" applyFill="1" applyBorder="1" applyAlignment="1" applyProtection="1">
      <alignment horizontal="center" vertical="center" wrapText="1" readingOrder="1"/>
      <protection locked="0"/>
    </xf>
    <xf numFmtId="0" fontId="17" fillId="0" borderId="35" xfId="0" applyFont="1" applyFill="1" applyBorder="1" applyAlignment="1" applyProtection="1">
      <alignment horizontal="center" vertical="center" readingOrder="1"/>
      <protection locked="0"/>
    </xf>
    <xf numFmtId="0" fontId="17" fillId="0" borderId="8" xfId="0" applyFont="1" applyFill="1" applyBorder="1" applyAlignment="1" applyProtection="1">
      <alignment horizontal="center" wrapText="1" readingOrder="1"/>
      <protection locked="0"/>
    </xf>
    <xf numFmtId="0" fontId="21" fillId="0" borderId="0" xfId="0" applyFont="1" applyAlignment="1">
      <alignment horizontal="center"/>
    </xf>
    <xf numFmtId="0" fontId="32" fillId="0" borderId="52" xfId="0" applyFont="1" applyFill="1" applyBorder="1" applyAlignment="1">
      <alignment horizontal="center" vertical="center" wrapText="1"/>
    </xf>
    <xf numFmtId="0" fontId="22" fillId="0" borderId="53" xfId="0" applyFont="1" applyBorder="1" applyAlignment="1">
      <alignment horizontal="center"/>
    </xf>
    <xf numFmtId="0" fontId="32" fillId="0" borderId="54" xfId="0" applyFont="1" applyFill="1" applyBorder="1" applyAlignment="1">
      <alignment horizontal="center" vertical="center" wrapText="1"/>
    </xf>
    <xf numFmtId="0" fontId="22" fillId="0" borderId="4" xfId="0" applyFont="1" applyBorder="1" applyAlignment="1">
      <alignment horizontal="center"/>
    </xf>
    <xf numFmtId="0" fontId="21" fillId="0" borderId="53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32" fillId="0" borderId="34" xfId="0" applyFont="1" applyFill="1" applyBorder="1" applyAlignment="1">
      <alignment horizontal="center" vertical="center" wrapText="1"/>
    </xf>
    <xf numFmtId="0" fontId="21" fillId="0" borderId="54" xfId="0" applyFont="1" applyBorder="1" applyAlignment="1">
      <alignment horizontal="center"/>
    </xf>
    <xf numFmtId="0" fontId="22" fillId="0" borderId="3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2" fillId="0" borderId="54" xfId="0" applyFont="1" applyBorder="1" applyAlignment="1">
      <alignment horizontal="center"/>
    </xf>
    <xf numFmtId="0" fontId="0" fillId="0" borderId="54" xfId="0" applyBorder="1" applyAlignment="1">
      <alignment horizontal="center"/>
    </xf>
    <xf numFmtId="2" fontId="22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</xf>
    <xf numFmtId="0" fontId="0" fillId="8" borderId="0" xfId="0" applyFill="1" applyAlignment="1" applyProtection="1">
      <alignment horizontal="center"/>
    </xf>
    <xf numFmtId="0" fontId="0" fillId="0" borderId="0" xfId="0" applyAlignment="1" applyProtection="1">
      <alignment horizontal="center" vertical="top"/>
    </xf>
    <xf numFmtId="0" fontId="15" fillId="0" borderId="26" xfId="0" quotePrefix="1" applyFont="1" applyFill="1" applyBorder="1" applyAlignment="1" applyProtection="1">
      <alignment horizontal="center" vertical="center" readingOrder="1"/>
    </xf>
    <xf numFmtId="0" fontId="16" fillId="0" borderId="26" xfId="0" applyNumberFormat="1" applyFont="1" applyFill="1" applyBorder="1" applyAlignment="1" applyProtection="1">
      <alignment horizontal="center" vertical="center" wrapText="1" readingOrder="1"/>
      <protection locked="0"/>
    </xf>
    <xf numFmtId="0" fontId="15" fillId="0" borderId="26" xfId="0" applyFont="1" applyFill="1" applyBorder="1" applyAlignment="1" applyProtection="1">
      <alignment wrapText="1" readingOrder="1"/>
    </xf>
    <xf numFmtId="0" fontId="0" fillId="0" borderId="0" xfId="0" applyProtection="1">
      <protection locked="0"/>
    </xf>
    <xf numFmtId="0" fontId="16" fillId="15" borderId="13" xfId="0" applyFont="1" applyFill="1" applyBorder="1" applyAlignment="1" applyProtection="1">
      <alignment horizontal="center" vertical="center" wrapText="1" readingOrder="1"/>
      <protection locked="0"/>
    </xf>
    <xf numFmtId="9" fontId="0" fillId="0" borderId="0" xfId="0" applyNumberFormat="1" applyProtection="1">
      <protection locked="0"/>
    </xf>
    <xf numFmtId="9" fontId="15" fillId="19" borderId="31" xfId="0" applyNumberFormat="1" applyFont="1" applyFill="1" applyBorder="1" applyAlignment="1" applyProtection="1">
      <alignment horizontal="center" vertical="center" readingOrder="1"/>
    </xf>
    <xf numFmtId="9" fontId="15" fillId="20" borderId="32" xfId="0" applyNumberFormat="1" applyFont="1" applyFill="1" applyBorder="1" applyAlignment="1" applyProtection="1">
      <alignment horizontal="center" vertical="center" readingOrder="1"/>
    </xf>
    <xf numFmtId="9" fontId="15" fillId="20" borderId="33" xfId="0" applyNumberFormat="1" applyFont="1" applyFill="1" applyBorder="1" applyAlignment="1" applyProtection="1">
      <alignment horizontal="center" vertical="center" readingOrder="1"/>
    </xf>
    <xf numFmtId="9" fontId="15" fillId="21" borderId="31" xfId="0" applyNumberFormat="1" applyFont="1" applyFill="1" applyBorder="1" applyAlignment="1" applyProtection="1">
      <alignment horizontal="center" vertical="center" readingOrder="1"/>
    </xf>
    <xf numFmtId="9" fontId="15" fillId="19" borderId="33" xfId="0" applyNumberFormat="1" applyFont="1" applyFill="1" applyBorder="1" applyAlignment="1" applyProtection="1">
      <alignment horizontal="center" vertical="center" readingOrder="1"/>
    </xf>
    <xf numFmtId="9" fontId="15" fillId="20" borderId="31" xfId="0" applyNumberFormat="1" applyFont="1" applyFill="1" applyBorder="1" applyAlignment="1" applyProtection="1">
      <alignment horizontal="center" vertical="center" readingOrder="1"/>
    </xf>
    <xf numFmtId="0" fontId="0" fillId="0" borderId="0" xfId="0" applyNumberFormat="1" applyAlignment="1">
      <alignment horizontal="left"/>
    </xf>
    <xf numFmtId="0" fontId="0" fillId="0" borderId="0" xfId="0" applyNumberFormat="1" applyAlignment="1" applyProtection="1">
      <alignment horizontal="left"/>
      <protection locked="0"/>
    </xf>
    <xf numFmtId="49" fontId="1" fillId="0" borderId="0" xfId="0" applyNumberFormat="1" applyFont="1" applyAlignment="1" applyProtection="1">
      <alignment horizontal="center"/>
    </xf>
    <xf numFmtId="49" fontId="1" fillId="0" borderId="0" xfId="0" applyNumberFormat="1" applyFont="1" applyProtection="1"/>
    <xf numFmtId="49" fontId="1" fillId="0" borderId="0" xfId="0" applyNumberFormat="1" applyFont="1" applyAlignment="1" applyProtection="1">
      <alignment horizontal="left" wrapText="1"/>
    </xf>
    <xf numFmtId="49" fontId="1" fillId="9" borderId="0" xfId="0" applyNumberFormat="1" applyFont="1" applyFill="1" applyAlignment="1" applyProtection="1">
      <alignment horizontal="left" wrapText="1"/>
    </xf>
    <xf numFmtId="49" fontId="0" fillId="0" borderId="0" xfId="0" applyNumberFormat="1" applyAlignment="1" applyProtection="1">
      <alignment wrapText="1"/>
    </xf>
    <xf numFmtId="49" fontId="0" fillId="0" borderId="0" xfId="0" applyNumberFormat="1" applyProtection="1"/>
    <xf numFmtId="49" fontId="1" fillId="0" borderId="0" xfId="0" quotePrefix="1" applyNumberFormat="1" applyFont="1" applyAlignment="1" applyProtection="1">
      <alignment horizontal="left" wrapText="1"/>
    </xf>
    <xf numFmtId="0" fontId="1" fillId="0" borderId="0" xfId="0" applyFont="1" applyFill="1" applyBorder="1" applyAlignment="1" applyProtection="1">
      <alignment horizontal="center" readingOrder="1"/>
    </xf>
    <xf numFmtId="0" fontId="16" fillId="0" borderId="26" xfId="0" applyFont="1" applyFill="1" applyBorder="1" applyAlignment="1" applyProtection="1">
      <alignment horizontal="center" vertical="center" wrapText="1" readingOrder="1"/>
      <protection locked="0"/>
    </xf>
    <xf numFmtId="9" fontId="16" fillId="22" borderId="31" xfId="0" applyNumberFormat="1" applyFont="1" applyFill="1" applyBorder="1" applyAlignment="1" applyProtection="1">
      <alignment horizontal="center" vertical="center" wrapText="1" readingOrder="1"/>
    </xf>
    <xf numFmtId="9" fontId="16" fillId="22" borderId="32" xfId="0" applyNumberFormat="1" applyFont="1" applyFill="1" applyBorder="1" applyAlignment="1" applyProtection="1">
      <alignment horizontal="center" vertical="center" wrapText="1" readingOrder="1"/>
    </xf>
    <xf numFmtId="9" fontId="16" fillId="22" borderId="33" xfId="0" applyNumberFormat="1" applyFont="1" applyFill="1" applyBorder="1" applyAlignment="1" applyProtection="1">
      <alignment horizontal="center" vertical="center" wrapText="1" readingOrder="1"/>
    </xf>
    <xf numFmtId="0" fontId="21" fillId="0" borderId="0" xfId="0" applyFont="1" applyAlignment="1">
      <alignment horizontal="center"/>
    </xf>
    <xf numFmtId="0" fontId="15" fillId="11" borderId="17" xfId="0" applyFont="1" applyFill="1" applyBorder="1" applyAlignment="1" applyProtection="1">
      <alignment horizontal="center" vertical="center" textRotation="90" readingOrder="1"/>
      <protection locked="0"/>
    </xf>
    <xf numFmtId="0" fontId="15" fillId="11" borderId="18" xfId="0" applyFont="1" applyFill="1" applyBorder="1" applyAlignment="1" applyProtection="1">
      <alignment horizontal="center" vertical="center" textRotation="90" readingOrder="1"/>
      <protection locked="0"/>
    </xf>
    <xf numFmtId="0" fontId="15" fillId="11" borderId="19" xfId="0" applyFont="1" applyFill="1" applyBorder="1" applyAlignment="1" applyProtection="1">
      <alignment horizontal="center" vertical="center" textRotation="90" readingOrder="1"/>
      <protection locked="0"/>
    </xf>
    <xf numFmtId="0" fontId="15" fillId="0" borderId="17" xfId="0" applyFont="1" applyFill="1" applyBorder="1" applyAlignment="1" applyProtection="1">
      <alignment horizontal="center" vertical="center" wrapText="1" readingOrder="1"/>
      <protection locked="0"/>
    </xf>
    <xf numFmtId="0" fontId="15" fillId="0" borderId="18" xfId="0" applyFont="1" applyFill="1" applyBorder="1" applyAlignment="1" applyProtection="1">
      <alignment horizontal="center" vertical="center" wrapText="1" readingOrder="1"/>
      <protection locked="0"/>
    </xf>
    <xf numFmtId="0" fontId="15" fillId="0" borderId="19" xfId="0" applyFont="1" applyFill="1" applyBorder="1" applyAlignment="1" applyProtection="1">
      <alignment horizontal="center" vertical="center" wrapText="1" readingOrder="1"/>
      <protection locked="0"/>
    </xf>
    <xf numFmtId="0" fontId="15" fillId="10" borderId="17" xfId="0" applyFont="1" applyFill="1" applyBorder="1" applyAlignment="1" applyProtection="1">
      <alignment horizontal="center" vertical="center" textRotation="90" readingOrder="1"/>
      <protection locked="0"/>
    </xf>
    <xf numFmtId="0" fontId="15" fillId="10" borderId="18" xfId="0" applyFont="1" applyFill="1" applyBorder="1" applyAlignment="1" applyProtection="1">
      <alignment horizontal="center" vertical="center" textRotation="90" readingOrder="1"/>
      <protection locked="0"/>
    </xf>
    <xf numFmtId="0" fontId="15" fillId="10" borderId="19" xfId="0" applyFont="1" applyFill="1" applyBorder="1" applyAlignment="1" applyProtection="1">
      <alignment horizontal="center" vertical="center" textRotation="90" readingOrder="1"/>
      <protection locked="0"/>
    </xf>
    <xf numFmtId="0" fontId="15" fillId="0" borderId="0" xfId="0" applyFont="1" applyFill="1" applyBorder="1" applyAlignment="1" applyProtection="1">
      <alignment horizontal="center" vertical="center" wrapText="1" readingOrder="1"/>
    </xf>
    <xf numFmtId="0" fontId="15" fillId="12" borderId="17" xfId="0" applyFont="1" applyFill="1" applyBorder="1" applyAlignment="1" applyProtection="1">
      <alignment horizontal="center" vertical="center" textRotation="90" readingOrder="1"/>
      <protection locked="0"/>
    </xf>
    <xf numFmtId="0" fontId="15" fillId="12" borderId="18" xfId="0" applyFont="1" applyFill="1" applyBorder="1" applyAlignment="1" applyProtection="1">
      <alignment horizontal="center" vertical="center" textRotation="90" readingOrder="1"/>
      <protection locked="0"/>
    </xf>
    <xf numFmtId="0" fontId="15" fillId="12" borderId="19" xfId="0" applyFont="1" applyFill="1" applyBorder="1" applyAlignment="1" applyProtection="1">
      <alignment horizontal="center" vertical="center" textRotation="90" readingOrder="1"/>
      <protection locked="0"/>
    </xf>
    <xf numFmtId="0" fontId="24" fillId="13" borderId="5" xfId="0" applyFont="1" applyFill="1" applyBorder="1" applyAlignment="1" applyProtection="1">
      <alignment horizontal="center" vertical="center" readingOrder="1"/>
      <protection locked="0"/>
    </xf>
    <xf numFmtId="0" fontId="24" fillId="13" borderId="6" xfId="0" applyFont="1" applyFill="1" applyBorder="1" applyAlignment="1" applyProtection="1">
      <alignment horizontal="center" vertical="center" readingOrder="1"/>
      <protection locked="0"/>
    </xf>
    <xf numFmtId="0" fontId="24" fillId="13" borderId="7" xfId="0" applyFont="1" applyFill="1" applyBorder="1" applyAlignment="1" applyProtection="1">
      <alignment horizontal="center" vertical="center" readingOrder="1"/>
      <protection locked="0"/>
    </xf>
    <xf numFmtId="0" fontId="15" fillId="0" borderId="8" xfId="0" applyFont="1" applyFill="1" applyBorder="1" applyAlignment="1" applyProtection="1">
      <alignment horizontal="center" vertical="center" wrapText="1" readingOrder="1"/>
    </xf>
    <xf numFmtId="0" fontId="15" fillId="0" borderId="11" xfId="0" applyFont="1" applyFill="1" applyBorder="1" applyAlignment="1" applyProtection="1">
      <alignment horizontal="center" vertical="center" wrapText="1" readingOrder="1"/>
    </xf>
    <xf numFmtId="0" fontId="17" fillId="6" borderId="20" xfId="0" applyFont="1" applyFill="1" applyBorder="1" applyAlignment="1" applyProtection="1">
      <alignment vertical="center" wrapText="1" readingOrder="1"/>
    </xf>
    <xf numFmtId="0" fontId="17" fillId="6" borderId="21" xfId="0" applyFont="1" applyFill="1" applyBorder="1" applyAlignment="1" applyProtection="1">
      <alignment vertical="center" wrapText="1" readingOrder="1"/>
    </xf>
    <xf numFmtId="0" fontId="17" fillId="6" borderId="22" xfId="0" applyFont="1" applyFill="1" applyBorder="1" applyAlignment="1" applyProtection="1">
      <alignment vertical="center" wrapText="1" readingOrder="1"/>
    </xf>
    <xf numFmtId="0" fontId="17" fillId="6" borderId="23" xfId="0" applyFont="1" applyFill="1" applyBorder="1" applyAlignment="1" applyProtection="1">
      <alignment vertical="center" wrapText="1" readingOrder="1"/>
    </xf>
    <xf numFmtId="0" fontId="17" fillId="0" borderId="22" xfId="0" applyFont="1" applyFill="1" applyBorder="1" applyAlignment="1" applyProtection="1">
      <alignment vertical="center" wrapText="1" readingOrder="1"/>
    </xf>
    <xf numFmtId="0" fontId="17" fillId="0" borderId="23" xfId="0" applyFont="1" applyFill="1" applyBorder="1" applyAlignment="1" applyProtection="1">
      <alignment vertical="center" wrapText="1" readingOrder="1"/>
    </xf>
    <xf numFmtId="0" fontId="15" fillId="10" borderId="17" xfId="0" applyFont="1" applyFill="1" applyBorder="1" applyAlignment="1" applyProtection="1">
      <alignment horizontal="center" vertical="center" textRotation="90" wrapText="1" readingOrder="1"/>
    </xf>
    <xf numFmtId="0" fontId="15" fillId="10" borderId="18" xfId="0" applyFont="1" applyFill="1" applyBorder="1" applyAlignment="1" applyProtection="1">
      <alignment horizontal="center" vertical="center" textRotation="90" wrapText="1" readingOrder="1"/>
    </xf>
    <xf numFmtId="0" fontId="15" fillId="10" borderId="19" xfId="0" applyFont="1" applyFill="1" applyBorder="1" applyAlignment="1" applyProtection="1">
      <alignment horizontal="center" vertical="center" textRotation="90" wrapText="1" readingOrder="1"/>
    </xf>
    <xf numFmtId="0" fontId="15" fillId="0" borderId="17" xfId="0" applyFont="1" applyFill="1" applyBorder="1" applyAlignment="1" applyProtection="1">
      <alignment horizontal="center" vertical="center" wrapText="1" readingOrder="1"/>
    </xf>
    <xf numFmtId="0" fontId="15" fillId="0" borderId="18" xfId="0" applyFont="1" applyFill="1" applyBorder="1" applyAlignment="1" applyProtection="1">
      <alignment horizontal="center" vertical="center" wrapText="1" readingOrder="1"/>
    </xf>
    <xf numFmtId="0" fontId="15" fillId="0" borderId="19" xfId="0" applyFont="1" applyFill="1" applyBorder="1" applyAlignment="1" applyProtection="1">
      <alignment horizontal="center" vertical="center" wrapText="1" readingOrder="1"/>
    </xf>
    <xf numFmtId="0" fontId="17" fillId="0" borderId="22" xfId="0" applyFont="1" applyFill="1" applyBorder="1" applyAlignment="1" applyProtection="1">
      <alignment horizontal="left" vertical="center" wrapText="1" readingOrder="1"/>
    </xf>
    <xf numFmtId="0" fontId="17" fillId="0" borderId="23" xfId="0" applyFont="1" applyFill="1" applyBorder="1" applyAlignment="1" applyProtection="1">
      <alignment horizontal="left" vertical="center" wrapText="1" readingOrder="1"/>
    </xf>
    <xf numFmtId="0" fontId="15" fillId="12" borderId="17" xfId="0" applyFont="1" applyFill="1" applyBorder="1" applyAlignment="1" applyProtection="1">
      <alignment horizontal="center" vertical="center" textRotation="90" wrapText="1" readingOrder="1"/>
    </xf>
    <xf numFmtId="0" fontId="15" fillId="12" borderId="18" xfId="0" applyFont="1" applyFill="1" applyBorder="1" applyAlignment="1" applyProtection="1">
      <alignment horizontal="center" vertical="center" textRotation="90" wrapText="1" readingOrder="1"/>
    </xf>
    <xf numFmtId="0" fontId="15" fillId="12" borderId="19" xfId="0" applyFont="1" applyFill="1" applyBorder="1" applyAlignment="1" applyProtection="1">
      <alignment horizontal="center" vertical="center" textRotation="90" wrapText="1" readingOrder="1"/>
    </xf>
    <xf numFmtId="0" fontId="17" fillId="6" borderId="24" xfId="0" applyFont="1" applyFill="1" applyBorder="1" applyAlignment="1" applyProtection="1">
      <alignment vertical="center" wrapText="1" readingOrder="1"/>
    </xf>
    <xf numFmtId="0" fontId="17" fillId="6" borderId="25" xfId="0" applyFont="1" applyFill="1" applyBorder="1" applyAlignment="1" applyProtection="1">
      <alignment vertical="center" wrapText="1" readingOrder="1"/>
    </xf>
    <xf numFmtId="0" fontId="17" fillId="0" borderId="1" xfId="0" applyFont="1" applyFill="1" applyBorder="1" applyAlignment="1" applyProtection="1">
      <alignment vertical="center" wrapText="1" readingOrder="1"/>
    </xf>
    <xf numFmtId="0" fontId="17" fillId="0" borderId="16" xfId="0" applyFont="1" applyFill="1" applyBorder="1" applyAlignment="1" applyProtection="1">
      <alignment vertical="center" wrapText="1" readingOrder="1"/>
    </xf>
    <xf numFmtId="0" fontId="17" fillId="6" borderId="22" xfId="0" applyFont="1" applyFill="1" applyBorder="1" applyAlignment="1" applyProtection="1">
      <alignment horizontal="left" vertical="center" wrapText="1" readingOrder="1"/>
    </xf>
    <xf numFmtId="0" fontId="17" fillId="6" borderId="23" xfId="0" applyFont="1" applyFill="1" applyBorder="1" applyAlignment="1" applyProtection="1">
      <alignment horizontal="left" vertical="center" wrapText="1" readingOrder="1"/>
    </xf>
    <xf numFmtId="0" fontId="27" fillId="14" borderId="5" xfId="0" applyFont="1" applyFill="1" applyBorder="1" applyAlignment="1" applyProtection="1">
      <alignment horizontal="center" vertical="center" readingOrder="1"/>
    </xf>
    <xf numFmtId="0" fontId="27" fillId="14" borderId="6" xfId="0" applyFont="1" applyFill="1" applyBorder="1" applyAlignment="1" applyProtection="1">
      <alignment horizontal="center" vertical="center" readingOrder="1"/>
    </xf>
    <xf numFmtId="0" fontId="17" fillId="0" borderId="24" xfId="0" applyFont="1" applyFill="1" applyBorder="1" applyAlignment="1" applyProtection="1">
      <alignment vertical="center" wrapText="1" readingOrder="1"/>
    </xf>
    <xf numFmtId="0" fontId="17" fillId="0" borderId="25" xfId="0" applyFont="1" applyFill="1" applyBorder="1" applyAlignment="1" applyProtection="1">
      <alignment vertical="center" wrapText="1" readingOrder="1"/>
    </xf>
    <xf numFmtId="0" fontId="24" fillId="13" borderId="5" xfId="0" applyFont="1" applyFill="1" applyBorder="1" applyAlignment="1" applyProtection="1">
      <alignment horizontal="center" vertical="center" wrapText="1"/>
    </xf>
    <xf numFmtId="0" fontId="24" fillId="13" borderId="7" xfId="0" applyFont="1" applyFill="1" applyBorder="1" applyAlignment="1" applyProtection="1">
      <alignment horizontal="center" vertical="center" wrapText="1"/>
    </xf>
    <xf numFmtId="0" fontId="24" fillId="13" borderId="5" xfId="0" applyFont="1" applyFill="1" applyBorder="1" applyAlignment="1" applyProtection="1">
      <alignment horizontal="center" vertical="center" wrapText="1" readingOrder="1"/>
    </xf>
    <xf numFmtId="0" fontId="24" fillId="13" borderId="6" xfId="0" applyFont="1" applyFill="1" applyBorder="1" applyAlignment="1" applyProtection="1">
      <alignment horizontal="center" vertical="center" wrapText="1" readingOrder="1"/>
    </xf>
    <xf numFmtId="0" fontId="24" fillId="13" borderId="7" xfId="0" applyFont="1" applyFill="1" applyBorder="1" applyAlignment="1" applyProtection="1">
      <alignment horizontal="center" vertical="center" wrapText="1" readingOrder="1"/>
    </xf>
    <xf numFmtId="0" fontId="17" fillId="6" borderId="5" xfId="0" applyFont="1" applyFill="1" applyBorder="1" applyAlignment="1" applyProtection="1">
      <alignment vertical="center" wrapText="1" readingOrder="1"/>
    </xf>
    <xf numFmtId="0" fontId="17" fillId="6" borderId="7" xfId="0" applyFont="1" applyFill="1" applyBorder="1" applyAlignment="1" applyProtection="1">
      <alignment vertical="center" wrapText="1" readingOrder="1"/>
    </xf>
    <xf numFmtId="0" fontId="17" fillId="6" borderId="1" xfId="0" applyFont="1" applyFill="1" applyBorder="1" applyAlignment="1" applyProtection="1">
      <alignment vertical="center" wrapText="1" readingOrder="1"/>
    </xf>
    <xf numFmtId="0" fontId="17" fillId="6" borderId="16" xfId="0" applyFont="1" applyFill="1" applyBorder="1" applyAlignment="1" applyProtection="1">
      <alignment vertical="center" wrapText="1" readingOrder="1"/>
    </xf>
    <xf numFmtId="0" fontId="13" fillId="12" borderId="5" xfId="1" applyFont="1" applyFill="1" applyBorder="1" applyAlignment="1" applyProtection="1">
      <alignment horizontal="center" wrapText="1" readingOrder="1"/>
    </xf>
    <xf numFmtId="0" fontId="13" fillId="12" borderId="7" xfId="1" applyFont="1" applyFill="1" applyBorder="1" applyAlignment="1" applyProtection="1">
      <alignment horizontal="center" wrapText="1" readingOrder="1"/>
    </xf>
    <xf numFmtId="0" fontId="1" fillId="0" borderId="10" xfId="0" applyFont="1" applyFill="1" applyBorder="1" applyAlignment="1" applyProtection="1">
      <alignment horizontal="center" readingOrder="1"/>
    </xf>
    <xf numFmtId="0" fontId="1" fillId="0" borderId="0" xfId="0" applyFont="1" applyFill="1" applyBorder="1" applyAlignment="1" applyProtection="1">
      <alignment horizontal="center" readingOrder="1"/>
    </xf>
    <xf numFmtId="0" fontId="21" fillId="4" borderId="0" xfId="0" applyFont="1" applyFill="1" applyBorder="1" applyAlignment="1" applyProtection="1">
      <alignment horizontal="center" readingOrder="1"/>
    </xf>
    <xf numFmtId="0" fontId="17" fillId="0" borderId="20" xfId="0" applyFont="1" applyFill="1" applyBorder="1" applyAlignment="1" applyProtection="1">
      <alignment vertical="center" wrapText="1" readingOrder="1"/>
    </xf>
    <xf numFmtId="0" fontId="17" fillId="0" borderId="27" xfId="0" applyFont="1" applyFill="1" applyBorder="1" applyAlignment="1" applyProtection="1">
      <alignment vertical="center" wrapText="1" readingOrder="1"/>
    </xf>
    <xf numFmtId="0" fontId="17" fillId="0" borderId="0" xfId="0" applyFont="1" applyFill="1" applyBorder="1" applyAlignment="1" applyProtection="1">
      <alignment vertical="center" wrapText="1" readingOrder="1"/>
    </xf>
    <xf numFmtId="0" fontId="15" fillId="11" borderId="17" xfId="0" applyFont="1" applyFill="1" applyBorder="1" applyAlignment="1" applyProtection="1">
      <alignment horizontal="center" vertical="center" textRotation="90" wrapText="1" readingOrder="1"/>
    </xf>
    <xf numFmtId="0" fontId="15" fillId="11" borderId="18" xfId="0" applyFont="1" applyFill="1" applyBorder="1" applyAlignment="1" applyProtection="1">
      <alignment horizontal="center" vertical="center" textRotation="90" wrapText="1" readingOrder="1"/>
    </xf>
    <xf numFmtId="0" fontId="15" fillId="11" borderId="19" xfId="0" applyFont="1" applyFill="1" applyBorder="1" applyAlignment="1" applyProtection="1">
      <alignment horizontal="center" vertical="center" textRotation="90" wrapText="1" readingOrder="1"/>
    </xf>
    <xf numFmtId="0" fontId="17" fillId="0" borderId="1" xfId="0" applyFont="1" applyFill="1" applyBorder="1" applyAlignment="1" applyProtection="1">
      <alignment horizontal="left" vertical="center" wrapText="1" readingOrder="1"/>
    </xf>
    <xf numFmtId="0" fontId="17" fillId="0" borderId="16" xfId="0" applyFont="1" applyFill="1" applyBorder="1" applyAlignment="1" applyProtection="1">
      <alignment horizontal="left" vertical="center" wrapText="1" readingOrder="1"/>
    </xf>
    <xf numFmtId="0" fontId="17" fillId="0" borderId="5" xfId="0" applyFont="1" applyFill="1" applyBorder="1" applyAlignment="1" applyProtection="1">
      <alignment vertical="center" wrapText="1" readingOrder="1"/>
    </xf>
    <xf numFmtId="0" fontId="17" fillId="0" borderId="7" xfId="0" applyFont="1" applyFill="1" applyBorder="1" applyAlignment="1" applyProtection="1">
      <alignment vertical="center" wrapText="1" readingOrder="1"/>
    </xf>
  </cellXfs>
  <cellStyles count="3">
    <cellStyle name="Normal" xfId="0" builtinId="0"/>
    <cellStyle name="Normal 2" xfId="2"/>
    <cellStyle name="Note" xfId="1" builtinId="10"/>
  </cellStyles>
  <dxfs count="0"/>
  <tableStyles count="0" defaultTableStyle="TableStyleMedium2" defaultPivotStyle="PivotStyleLight16"/>
  <colors>
    <mruColors>
      <color rgb="FF33CCCC"/>
      <color rgb="FFFF6699"/>
      <color rgb="FF99CCFF"/>
      <color rgb="FF0000CC"/>
      <color rgb="FFFF9900"/>
      <color rgb="FF000099"/>
      <color rgb="FFCC0000"/>
      <color rgb="FF336699"/>
      <color rgb="FF3366CC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jpeg"/><Relationship Id="rId1" Type="http://schemas.openxmlformats.org/officeDocument/2006/relationships/image" Target="../media/image15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0</xdr:rowOff>
    </xdr:from>
    <xdr:ext cx="184731" cy="264558"/>
    <xdr:sp macro="" textlink="">
      <xdr:nvSpPr>
        <xdr:cNvPr id="2" name="TextBox 1"/>
        <xdr:cNvSpPr txBox="1"/>
      </xdr:nvSpPr>
      <xdr:spPr>
        <a:xfrm>
          <a:off x="464591" y="640076"/>
          <a:ext cx="184731" cy="264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0</xdr:row>
          <xdr:rowOff>152400</xdr:rowOff>
        </xdr:from>
        <xdr:to>
          <xdr:col>0</xdr:col>
          <xdr:colOff>2393950</xdr:colOff>
          <xdr:row>0</xdr:row>
          <xdr:rowOff>704850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0</xdr:row>
          <xdr:rowOff>1028700</xdr:rowOff>
        </xdr:from>
        <xdr:to>
          <xdr:col>0</xdr:col>
          <xdr:colOff>2832100</xdr:colOff>
          <xdr:row>0</xdr:row>
          <xdr:rowOff>1390650</xdr:rowOff>
        </xdr:to>
        <xdr:sp macro="" textlink="">
          <xdr:nvSpPr>
            <xdr:cNvPr id="6146" name="CmdBtnInitialiseCheckListSystem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0</xdr:row>
          <xdr:rowOff>1562100</xdr:rowOff>
        </xdr:from>
        <xdr:to>
          <xdr:col>0</xdr:col>
          <xdr:colOff>2813050</xdr:colOff>
          <xdr:row>0</xdr:row>
          <xdr:rowOff>2152650</xdr:rowOff>
        </xdr:to>
        <xdr:sp macro="" textlink="">
          <xdr:nvSpPr>
            <xdr:cNvPr id="6147" name="CmdBtnSetDataValidatio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2914650</xdr:colOff>
          <xdr:row>0</xdr:row>
          <xdr:rowOff>171450</xdr:rowOff>
        </xdr:from>
        <xdr:to>
          <xdr:col>0</xdr:col>
          <xdr:colOff>4984750</xdr:colOff>
          <xdr:row>0</xdr:row>
          <xdr:rowOff>660400</xdr:rowOff>
        </xdr:to>
        <xdr:sp macro="" textlink="">
          <xdr:nvSpPr>
            <xdr:cNvPr id="6148" name="CmdBtnDeletePaper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165100</xdr:rowOff>
        </xdr:from>
        <xdr:to>
          <xdr:col>4</xdr:col>
          <xdr:colOff>127000</xdr:colOff>
          <xdr:row>0</xdr:row>
          <xdr:rowOff>654050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2921000</xdr:colOff>
          <xdr:row>0</xdr:row>
          <xdr:rowOff>1568450</xdr:rowOff>
        </xdr:from>
        <xdr:to>
          <xdr:col>0</xdr:col>
          <xdr:colOff>4991100</xdr:colOff>
          <xdr:row>0</xdr:row>
          <xdr:rowOff>2057400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1587500</xdr:rowOff>
        </xdr:from>
        <xdr:to>
          <xdr:col>4</xdr:col>
          <xdr:colOff>127000</xdr:colOff>
          <xdr:row>0</xdr:row>
          <xdr:rowOff>2076450</xdr:rowOff>
        </xdr:to>
        <xdr:sp macro="" textlink="">
          <xdr:nvSpPr>
            <xdr:cNvPr id="6151" name="CommandButton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5778500</xdr:colOff>
          <xdr:row>0</xdr:row>
          <xdr:rowOff>2438400</xdr:rowOff>
        </xdr:from>
        <xdr:to>
          <xdr:col>0</xdr:col>
          <xdr:colOff>8267700</xdr:colOff>
          <xdr:row>0</xdr:row>
          <xdr:rowOff>3194050</xdr:rowOff>
        </xdr:to>
        <xdr:sp macro="" textlink="">
          <xdr:nvSpPr>
            <xdr:cNvPr id="6152" name="CommandButton2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36462</xdr:colOff>
      <xdr:row>1</xdr:row>
      <xdr:rowOff>338800</xdr:rowOff>
    </xdr:from>
    <xdr:ext cx="184731" cy="264558"/>
    <xdr:sp macro="" textlink="">
      <xdr:nvSpPr>
        <xdr:cNvPr id="2" name="TextBox 1"/>
        <xdr:cNvSpPr txBox="1"/>
      </xdr:nvSpPr>
      <xdr:spPr>
        <a:xfrm>
          <a:off x="468262" y="643600"/>
          <a:ext cx="184731" cy="264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31712</xdr:colOff>
          <xdr:row>1</xdr:row>
          <xdr:rowOff>25400</xdr:rowOff>
        </xdr:from>
        <xdr:to>
          <xdr:col>2</xdr:col>
          <xdr:colOff>755612</xdr:colOff>
          <xdr:row>1</xdr:row>
          <xdr:rowOff>311150</xdr:rowOff>
        </xdr:to>
        <xdr:sp macro="" textlink="">
          <xdr:nvSpPr>
            <xdr:cNvPr id="3149" name="CommandButton1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28156</xdr:colOff>
          <xdr:row>1</xdr:row>
          <xdr:rowOff>25400</xdr:rowOff>
        </xdr:from>
        <xdr:to>
          <xdr:col>4</xdr:col>
          <xdr:colOff>783806</xdr:colOff>
          <xdr:row>1</xdr:row>
          <xdr:rowOff>311150</xdr:rowOff>
        </xdr:to>
        <xdr:sp macro="" textlink="">
          <xdr:nvSpPr>
            <xdr:cNvPr id="3151" name="CommandButton2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875487</xdr:colOff>
          <xdr:row>1</xdr:row>
          <xdr:rowOff>25400</xdr:rowOff>
        </xdr:from>
        <xdr:to>
          <xdr:col>5</xdr:col>
          <xdr:colOff>88087</xdr:colOff>
          <xdr:row>1</xdr:row>
          <xdr:rowOff>311150</xdr:rowOff>
        </xdr:to>
        <xdr:sp macro="" textlink="">
          <xdr:nvSpPr>
            <xdr:cNvPr id="3152" name="CommandButton3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185039</xdr:colOff>
          <xdr:row>1</xdr:row>
          <xdr:rowOff>25400</xdr:rowOff>
        </xdr:from>
        <xdr:to>
          <xdr:col>5</xdr:col>
          <xdr:colOff>1517269</xdr:colOff>
          <xdr:row>1</xdr:row>
          <xdr:rowOff>311150</xdr:rowOff>
        </xdr:to>
        <xdr:sp macro="" textlink="">
          <xdr:nvSpPr>
            <xdr:cNvPr id="3153" name="CommandButton4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1606880</xdr:colOff>
          <xdr:row>1</xdr:row>
          <xdr:rowOff>25400</xdr:rowOff>
        </xdr:from>
        <xdr:to>
          <xdr:col>6</xdr:col>
          <xdr:colOff>1048080</xdr:colOff>
          <xdr:row>1</xdr:row>
          <xdr:rowOff>311150</xdr:rowOff>
        </xdr:to>
        <xdr:sp macro="" textlink="">
          <xdr:nvSpPr>
            <xdr:cNvPr id="3178" name="ComboBox1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1074280</xdr:colOff>
          <xdr:row>1</xdr:row>
          <xdr:rowOff>25400</xdr:rowOff>
        </xdr:from>
        <xdr:to>
          <xdr:col>6</xdr:col>
          <xdr:colOff>1442580</xdr:colOff>
          <xdr:row>1</xdr:row>
          <xdr:rowOff>311150</xdr:rowOff>
        </xdr:to>
        <xdr:sp macro="" textlink="">
          <xdr:nvSpPr>
            <xdr:cNvPr id="3199" name="CommandButton5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136071</xdr:colOff>
      <xdr:row>2</xdr:row>
      <xdr:rowOff>81643</xdr:rowOff>
    </xdr:from>
    <xdr:to>
      <xdr:col>4</xdr:col>
      <xdr:colOff>1931485</xdr:colOff>
      <xdr:row>15</xdr:row>
      <xdr:rowOff>58536</xdr:rowOff>
    </xdr:to>
    <xdr:grpSp>
      <xdr:nvGrpSpPr>
        <xdr:cNvPr id="15" name="Group 14"/>
        <xdr:cNvGrpSpPr/>
      </xdr:nvGrpSpPr>
      <xdr:grpSpPr>
        <a:xfrm>
          <a:off x="136071" y="743857"/>
          <a:ext cx="3446414" cy="2498750"/>
          <a:chOff x="98421" y="729545"/>
          <a:chExt cx="3438477" cy="2532768"/>
        </a:xfrm>
      </xdr:grpSpPr>
      <xdr:pic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421" y="729545"/>
            <a:ext cx="3438477" cy="2532768"/>
          </a:xfrm>
          <a:prstGeom prst="rect">
            <a:avLst/>
          </a:prstGeom>
        </xdr:spPr>
      </xdr:pic>
      <xdr:pic>
        <xdr:nvPicPr>
          <xdr:cNvPr id="17" name="Picture 16" descr="http://elearn.cs.man.ac.uk/~atlas/images/uom-logo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9166" y="2831994"/>
            <a:ext cx="664036" cy="3252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8" name="Picture 17" descr="http://imgwpowl.cs.manchester.ac.uk/wp-content/uploads/2011/03/BHIG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8794" y="2807306"/>
            <a:ext cx="664033" cy="39151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5"/>
  <sheetViews>
    <sheetView workbookViewId="0">
      <pane ySplit="1" topLeftCell="A52" activePane="bottomLeft" state="frozen"/>
      <selection pane="bottomLeft" activeCell="D28" sqref="D28"/>
    </sheetView>
  </sheetViews>
  <sheetFormatPr defaultColWidth="9.1796875" defaultRowHeight="14.5"/>
  <cols>
    <col min="2" max="2" width="13.1796875" customWidth="1"/>
    <col min="3" max="3" width="20.36328125" customWidth="1"/>
    <col min="6" max="6" width="11.81640625" customWidth="1"/>
  </cols>
  <sheetData>
    <row r="1" spans="1:7" s="4" customFormat="1">
      <c r="A1" s="4" t="s">
        <v>305</v>
      </c>
      <c r="B1" s="4" t="s">
        <v>393</v>
      </c>
      <c r="C1" s="4" t="s">
        <v>394</v>
      </c>
      <c r="D1" s="4" t="s">
        <v>395</v>
      </c>
      <c r="E1" s="4" t="s">
        <v>566</v>
      </c>
      <c r="F1" s="4" t="s">
        <v>568</v>
      </c>
      <c r="G1" s="4" t="s">
        <v>567</v>
      </c>
    </row>
    <row r="2" spans="1:7">
      <c r="A2">
        <v>1</v>
      </c>
      <c r="B2" t="s">
        <v>625</v>
      </c>
      <c r="C2" t="s">
        <v>315</v>
      </c>
      <c r="D2" t="b">
        <v>1</v>
      </c>
      <c r="E2">
        <v>10</v>
      </c>
      <c r="F2">
        <v>10</v>
      </c>
    </row>
    <row r="3" spans="1:7">
      <c r="A3">
        <v>2</v>
      </c>
      <c r="B3" t="s">
        <v>625</v>
      </c>
      <c r="C3" t="s">
        <v>317</v>
      </c>
      <c r="D3" t="b">
        <v>1</v>
      </c>
      <c r="E3">
        <v>10</v>
      </c>
      <c r="F3">
        <v>10</v>
      </c>
    </row>
    <row r="4" spans="1:7">
      <c r="A4">
        <v>3</v>
      </c>
      <c r="B4" t="s">
        <v>625</v>
      </c>
      <c r="C4" t="s">
        <v>319</v>
      </c>
      <c r="D4" t="b">
        <v>1</v>
      </c>
      <c r="E4">
        <v>6</v>
      </c>
      <c r="F4">
        <v>6</v>
      </c>
    </row>
    <row r="5" spans="1:7">
      <c r="A5">
        <v>4</v>
      </c>
      <c r="B5" t="s">
        <v>625</v>
      </c>
      <c r="C5" t="s">
        <v>321</v>
      </c>
      <c r="D5" t="b">
        <v>1</v>
      </c>
      <c r="E5">
        <v>10</v>
      </c>
      <c r="F5">
        <v>10</v>
      </c>
    </row>
    <row r="6" spans="1:7">
      <c r="A6">
        <v>5</v>
      </c>
      <c r="B6" t="s">
        <v>625</v>
      </c>
      <c r="C6" t="s">
        <v>322</v>
      </c>
      <c r="D6" t="b">
        <v>1</v>
      </c>
      <c r="E6">
        <v>10</v>
      </c>
      <c r="F6">
        <v>10</v>
      </c>
    </row>
    <row r="7" spans="1:7">
      <c r="A7">
        <v>6</v>
      </c>
      <c r="B7" t="s">
        <v>625</v>
      </c>
      <c r="C7" t="s">
        <v>323</v>
      </c>
      <c r="D7" t="b">
        <v>0</v>
      </c>
      <c r="E7">
        <v>9</v>
      </c>
      <c r="F7">
        <v>0</v>
      </c>
    </row>
    <row r="8" spans="1:7">
      <c r="A8">
        <v>7</v>
      </c>
      <c r="B8" t="s">
        <v>625</v>
      </c>
      <c r="C8" t="s">
        <v>324</v>
      </c>
      <c r="D8" t="b">
        <v>0</v>
      </c>
      <c r="E8">
        <v>9</v>
      </c>
      <c r="F8">
        <v>0</v>
      </c>
    </row>
    <row r="9" spans="1:7">
      <c r="A9">
        <v>8</v>
      </c>
      <c r="B9" t="s">
        <v>625</v>
      </c>
      <c r="C9" t="s">
        <v>325</v>
      </c>
      <c r="D9" t="b">
        <v>1</v>
      </c>
      <c r="E9">
        <v>5</v>
      </c>
      <c r="F9">
        <v>5</v>
      </c>
    </row>
    <row r="10" spans="1:7">
      <c r="A10">
        <v>9</v>
      </c>
      <c r="B10" t="s">
        <v>625</v>
      </c>
      <c r="C10" t="s">
        <v>326</v>
      </c>
      <c r="D10" t="b">
        <v>1</v>
      </c>
      <c r="E10">
        <v>10</v>
      </c>
      <c r="F10">
        <v>10</v>
      </c>
    </row>
    <row r="11" spans="1:7">
      <c r="A11">
        <v>10</v>
      </c>
      <c r="B11" t="s">
        <v>625</v>
      </c>
      <c r="C11" t="s">
        <v>327</v>
      </c>
      <c r="D11" t="b">
        <v>1</v>
      </c>
      <c r="E11">
        <v>6</v>
      </c>
      <c r="F11">
        <v>6</v>
      </c>
    </row>
    <row r="12" spans="1:7">
      <c r="A12">
        <v>11</v>
      </c>
      <c r="B12" t="s">
        <v>625</v>
      </c>
      <c r="C12" t="s">
        <v>328</v>
      </c>
      <c r="D12" t="b">
        <v>1</v>
      </c>
      <c r="E12">
        <v>5</v>
      </c>
      <c r="F12">
        <v>5</v>
      </c>
    </row>
    <row r="13" spans="1:7">
      <c r="A13">
        <v>12</v>
      </c>
      <c r="B13" t="s">
        <v>625</v>
      </c>
      <c r="C13" t="s">
        <v>329</v>
      </c>
      <c r="D13" t="b">
        <v>1</v>
      </c>
      <c r="E13">
        <v>5</v>
      </c>
      <c r="F13">
        <v>5</v>
      </c>
    </row>
    <row r="14" spans="1:7">
      <c r="A14">
        <v>13</v>
      </c>
      <c r="B14" t="s">
        <v>625</v>
      </c>
      <c r="C14" t="s">
        <v>330</v>
      </c>
      <c r="D14" t="b">
        <v>1</v>
      </c>
      <c r="E14">
        <v>6</v>
      </c>
      <c r="F14">
        <v>6</v>
      </c>
    </row>
    <row r="15" spans="1:7">
      <c r="A15">
        <v>14</v>
      </c>
      <c r="B15" t="s">
        <v>625</v>
      </c>
      <c r="C15" t="s">
        <v>331</v>
      </c>
      <c r="D15" t="b">
        <v>1</v>
      </c>
      <c r="E15">
        <v>6</v>
      </c>
      <c r="F15">
        <v>6</v>
      </c>
    </row>
    <row r="16" spans="1:7">
      <c r="A16">
        <v>15</v>
      </c>
      <c r="B16" t="s">
        <v>625</v>
      </c>
      <c r="C16" t="s">
        <v>333</v>
      </c>
      <c r="D16" t="b">
        <v>1</v>
      </c>
      <c r="E16">
        <v>7</v>
      </c>
      <c r="F16">
        <v>7</v>
      </c>
    </row>
    <row r="17" spans="1:6">
      <c r="A17">
        <v>16</v>
      </c>
      <c r="B17" t="s">
        <v>625</v>
      </c>
      <c r="C17" t="s">
        <v>335</v>
      </c>
      <c r="D17" t="b">
        <v>1</v>
      </c>
      <c r="E17">
        <v>10</v>
      </c>
      <c r="F17">
        <v>10</v>
      </c>
    </row>
    <row r="18" spans="1:6">
      <c r="A18">
        <v>17</v>
      </c>
      <c r="B18" t="s">
        <v>625</v>
      </c>
      <c r="C18" t="s">
        <v>337</v>
      </c>
      <c r="D18" t="b">
        <v>1</v>
      </c>
      <c r="E18">
        <v>10</v>
      </c>
      <c r="F18">
        <v>10</v>
      </c>
    </row>
    <row r="19" spans="1:6">
      <c r="A19">
        <v>18</v>
      </c>
      <c r="B19" t="s">
        <v>625</v>
      </c>
      <c r="C19" t="s">
        <v>339</v>
      </c>
      <c r="D19" t="b">
        <v>1</v>
      </c>
      <c r="E19">
        <v>10</v>
      </c>
      <c r="F19">
        <v>10</v>
      </c>
    </row>
    <row r="20" spans="1:6">
      <c r="A20">
        <v>19</v>
      </c>
      <c r="B20" t="s">
        <v>625</v>
      </c>
      <c r="C20" t="s">
        <v>341</v>
      </c>
      <c r="D20" t="b">
        <v>0</v>
      </c>
      <c r="E20">
        <v>10</v>
      </c>
      <c r="F20">
        <v>0</v>
      </c>
    </row>
    <row r="21" spans="1:6">
      <c r="A21">
        <v>201</v>
      </c>
      <c r="B21" t="s">
        <v>625</v>
      </c>
      <c r="C21" t="s">
        <v>619</v>
      </c>
      <c r="D21" t="b">
        <v>1</v>
      </c>
      <c r="E21">
        <v>6</v>
      </c>
      <c r="F21">
        <v>6</v>
      </c>
    </row>
    <row r="22" spans="1:6">
      <c r="A22">
        <v>202</v>
      </c>
      <c r="B22" t="s">
        <v>625</v>
      </c>
      <c r="C22" t="s">
        <v>620</v>
      </c>
      <c r="D22" t="b">
        <v>1</v>
      </c>
      <c r="E22">
        <v>6</v>
      </c>
      <c r="F22">
        <v>6</v>
      </c>
    </row>
    <row r="23" spans="1:6">
      <c r="A23">
        <v>203</v>
      </c>
      <c r="B23" t="s">
        <v>625</v>
      </c>
      <c r="C23" t="s">
        <v>621</v>
      </c>
      <c r="D23" t="b">
        <v>1</v>
      </c>
      <c r="E23">
        <v>6</v>
      </c>
      <c r="F23">
        <v>6</v>
      </c>
    </row>
    <row r="24" spans="1:6">
      <c r="A24">
        <v>204</v>
      </c>
      <c r="B24" t="s">
        <v>625</v>
      </c>
      <c r="C24" t="s">
        <v>622</v>
      </c>
      <c r="D24" t="b">
        <v>1</v>
      </c>
      <c r="E24">
        <v>6</v>
      </c>
      <c r="F24">
        <v>6</v>
      </c>
    </row>
    <row r="25" spans="1:6">
      <c r="A25">
        <v>205</v>
      </c>
      <c r="B25" t="s">
        <v>625</v>
      </c>
      <c r="C25" t="s">
        <v>623</v>
      </c>
      <c r="D25" t="b">
        <v>1</v>
      </c>
      <c r="E25">
        <v>6</v>
      </c>
      <c r="F25">
        <v>6</v>
      </c>
    </row>
    <row r="26" spans="1:6">
      <c r="A26">
        <v>206</v>
      </c>
      <c r="B26" t="s">
        <v>625</v>
      </c>
      <c r="C26" t="s">
        <v>624</v>
      </c>
      <c r="D26" t="b">
        <v>1</v>
      </c>
      <c r="E26">
        <v>6</v>
      </c>
      <c r="F26">
        <v>6</v>
      </c>
    </row>
    <row r="27" spans="1:6">
      <c r="A27">
        <v>21</v>
      </c>
      <c r="B27" t="s">
        <v>625</v>
      </c>
      <c r="C27" t="s">
        <v>344</v>
      </c>
      <c r="D27" t="b">
        <v>1</v>
      </c>
      <c r="E27">
        <v>6</v>
      </c>
      <c r="F27">
        <v>6</v>
      </c>
    </row>
    <row r="28" spans="1:6">
      <c r="A28">
        <v>22</v>
      </c>
      <c r="B28" t="s">
        <v>625</v>
      </c>
      <c r="C28" t="s">
        <v>346</v>
      </c>
      <c r="D28" t="b">
        <v>1</v>
      </c>
      <c r="E28">
        <v>10</v>
      </c>
      <c r="F28">
        <v>10</v>
      </c>
    </row>
    <row r="29" spans="1:6">
      <c r="A29">
        <v>23</v>
      </c>
      <c r="B29" t="s">
        <v>625</v>
      </c>
      <c r="C29" t="s">
        <v>348</v>
      </c>
      <c r="D29" t="b">
        <v>1</v>
      </c>
      <c r="E29">
        <v>6</v>
      </c>
      <c r="F29">
        <v>6</v>
      </c>
    </row>
    <row r="30" spans="1:6">
      <c r="A30">
        <v>24</v>
      </c>
      <c r="B30" t="s">
        <v>625</v>
      </c>
      <c r="C30" t="s">
        <v>350</v>
      </c>
      <c r="D30" t="b">
        <v>1</v>
      </c>
      <c r="E30">
        <v>7</v>
      </c>
      <c r="F30">
        <v>7</v>
      </c>
    </row>
    <row r="31" spans="1:6">
      <c r="A31">
        <v>25</v>
      </c>
      <c r="B31" t="s">
        <v>625</v>
      </c>
      <c r="C31" t="s">
        <v>352</v>
      </c>
      <c r="D31" t="b">
        <v>1</v>
      </c>
      <c r="E31">
        <v>7</v>
      </c>
      <c r="F31">
        <v>7</v>
      </c>
    </row>
    <row r="32" spans="1:6">
      <c r="A32">
        <v>26</v>
      </c>
      <c r="B32" t="s">
        <v>625</v>
      </c>
      <c r="C32" t="s">
        <v>354</v>
      </c>
      <c r="D32" t="b">
        <v>1</v>
      </c>
      <c r="E32">
        <v>6</v>
      </c>
      <c r="F32">
        <v>6</v>
      </c>
    </row>
    <row r="33" spans="1:6">
      <c r="A33">
        <v>27</v>
      </c>
      <c r="B33" t="s">
        <v>625</v>
      </c>
      <c r="C33" t="s">
        <v>356</v>
      </c>
      <c r="D33" t="b">
        <v>1</v>
      </c>
      <c r="E33">
        <v>6</v>
      </c>
      <c r="F33">
        <v>6</v>
      </c>
    </row>
    <row r="34" spans="1:6">
      <c r="A34">
        <v>28</v>
      </c>
      <c r="B34" t="s">
        <v>625</v>
      </c>
      <c r="C34" t="s">
        <v>358</v>
      </c>
      <c r="D34" t="b">
        <v>1</v>
      </c>
      <c r="E34">
        <v>7</v>
      </c>
      <c r="F34">
        <v>7</v>
      </c>
    </row>
    <row r="35" spans="1:6">
      <c r="A35">
        <v>29</v>
      </c>
      <c r="B35" t="s">
        <v>625</v>
      </c>
      <c r="C35" t="s">
        <v>360</v>
      </c>
      <c r="D35" t="b">
        <v>1</v>
      </c>
      <c r="E35">
        <v>7</v>
      </c>
      <c r="F35">
        <v>7</v>
      </c>
    </row>
    <row r="36" spans="1:6">
      <c r="A36">
        <v>30</v>
      </c>
      <c r="B36" t="s">
        <v>625</v>
      </c>
      <c r="C36" t="s">
        <v>362</v>
      </c>
      <c r="D36" t="b">
        <v>1</v>
      </c>
      <c r="E36">
        <v>6</v>
      </c>
      <c r="F36">
        <v>6</v>
      </c>
    </row>
    <row r="37" spans="1:6">
      <c r="A37">
        <v>31</v>
      </c>
      <c r="B37" t="s">
        <v>625</v>
      </c>
      <c r="C37" t="s">
        <v>364</v>
      </c>
      <c r="D37" t="b">
        <v>1</v>
      </c>
      <c r="E37">
        <v>10</v>
      </c>
      <c r="F37">
        <v>10</v>
      </c>
    </row>
    <row r="38" spans="1:6">
      <c r="A38">
        <v>32</v>
      </c>
      <c r="B38" t="s">
        <v>625</v>
      </c>
      <c r="C38" t="s">
        <v>366</v>
      </c>
      <c r="D38" t="b">
        <v>1</v>
      </c>
      <c r="E38">
        <v>7</v>
      </c>
      <c r="F38">
        <v>7</v>
      </c>
    </row>
    <row r="39" spans="1:6">
      <c r="A39">
        <v>33</v>
      </c>
      <c r="B39" t="s">
        <v>625</v>
      </c>
      <c r="C39" t="s">
        <v>368</v>
      </c>
      <c r="D39" t="b">
        <v>1</v>
      </c>
      <c r="E39">
        <v>7</v>
      </c>
      <c r="F39">
        <v>7</v>
      </c>
    </row>
    <row r="40" spans="1:6">
      <c r="A40">
        <v>34</v>
      </c>
      <c r="B40" t="s">
        <v>625</v>
      </c>
      <c r="C40" t="s">
        <v>370</v>
      </c>
      <c r="D40" t="b">
        <v>1</v>
      </c>
      <c r="E40">
        <v>10</v>
      </c>
      <c r="F40">
        <v>10</v>
      </c>
    </row>
    <row r="41" spans="1:6">
      <c r="A41">
        <v>35</v>
      </c>
      <c r="B41" t="s">
        <v>625</v>
      </c>
      <c r="C41" t="s">
        <v>371</v>
      </c>
      <c r="D41" t="b">
        <v>1</v>
      </c>
      <c r="E41">
        <v>7</v>
      </c>
      <c r="F41">
        <v>7</v>
      </c>
    </row>
    <row r="42" spans="1:6">
      <c r="A42">
        <v>36</v>
      </c>
      <c r="B42" t="s">
        <v>625</v>
      </c>
      <c r="C42" t="s">
        <v>373</v>
      </c>
      <c r="D42" t="b">
        <v>1</v>
      </c>
      <c r="E42">
        <v>10</v>
      </c>
      <c r="F42">
        <v>10</v>
      </c>
    </row>
    <row r="43" spans="1:6">
      <c r="A43">
        <v>37</v>
      </c>
      <c r="B43" t="s">
        <v>625</v>
      </c>
      <c r="C43" t="s">
        <v>375</v>
      </c>
      <c r="D43" t="b">
        <v>1</v>
      </c>
      <c r="E43">
        <v>7</v>
      </c>
      <c r="F43">
        <v>7</v>
      </c>
    </row>
    <row r="44" spans="1:6">
      <c r="A44">
        <v>38</v>
      </c>
      <c r="B44" t="s">
        <v>625</v>
      </c>
      <c r="C44" t="s">
        <v>377</v>
      </c>
      <c r="D44" t="b">
        <v>1</v>
      </c>
      <c r="E44">
        <v>7</v>
      </c>
      <c r="F44">
        <v>7</v>
      </c>
    </row>
    <row r="45" spans="1:6">
      <c r="A45">
        <v>39</v>
      </c>
      <c r="B45" t="s">
        <v>625</v>
      </c>
      <c r="C45" t="s">
        <v>462</v>
      </c>
      <c r="D45" t="b">
        <v>1</v>
      </c>
      <c r="E45">
        <v>10</v>
      </c>
      <c r="F45">
        <v>10</v>
      </c>
    </row>
    <row r="46" spans="1:6">
      <c r="A46">
        <v>40</v>
      </c>
      <c r="B46" t="s">
        <v>625</v>
      </c>
      <c r="C46" t="s">
        <v>464</v>
      </c>
      <c r="D46" t="b">
        <v>1</v>
      </c>
      <c r="E46">
        <v>7</v>
      </c>
      <c r="F46">
        <v>7</v>
      </c>
    </row>
    <row r="47" spans="1:6">
      <c r="A47">
        <v>41</v>
      </c>
      <c r="B47" t="s">
        <v>625</v>
      </c>
      <c r="C47" t="s">
        <v>466</v>
      </c>
      <c r="D47" t="b">
        <v>1</v>
      </c>
      <c r="E47">
        <v>7</v>
      </c>
      <c r="F47">
        <v>7</v>
      </c>
    </row>
    <row r="48" spans="1:6">
      <c r="A48">
        <v>42</v>
      </c>
      <c r="B48" t="s">
        <v>625</v>
      </c>
      <c r="C48" t="s">
        <v>468</v>
      </c>
      <c r="D48" t="b">
        <v>1</v>
      </c>
      <c r="E48">
        <v>10</v>
      </c>
      <c r="F48">
        <v>10</v>
      </c>
    </row>
    <row r="49" spans="1:6">
      <c r="A49">
        <v>45</v>
      </c>
      <c r="B49" t="s">
        <v>625</v>
      </c>
      <c r="C49" t="s">
        <v>379</v>
      </c>
      <c r="D49" t="b">
        <v>1</v>
      </c>
      <c r="E49">
        <v>26</v>
      </c>
      <c r="F49">
        <v>26</v>
      </c>
    </row>
    <row r="50" spans="1:6">
      <c r="A50">
        <v>48</v>
      </c>
      <c r="B50" t="s">
        <v>625</v>
      </c>
      <c r="C50" t="s">
        <v>534</v>
      </c>
      <c r="D50" t="b">
        <v>0</v>
      </c>
      <c r="E50">
        <v>0</v>
      </c>
      <c r="F50">
        <v>0</v>
      </c>
    </row>
    <row r="51" spans="1:6">
      <c r="A51">
        <v>46</v>
      </c>
      <c r="B51" t="s">
        <v>625</v>
      </c>
      <c r="C51" t="s">
        <v>380</v>
      </c>
      <c r="D51" t="b">
        <v>0</v>
      </c>
      <c r="E51">
        <v>43</v>
      </c>
      <c r="F51">
        <v>25</v>
      </c>
    </row>
    <row r="52" spans="1:6">
      <c r="A52">
        <v>47</v>
      </c>
      <c r="B52" t="s">
        <v>625</v>
      </c>
      <c r="C52" t="s">
        <v>381</v>
      </c>
      <c r="D52" t="b">
        <v>1</v>
      </c>
      <c r="E52">
        <v>38</v>
      </c>
      <c r="F52">
        <v>38</v>
      </c>
    </row>
    <row r="53" spans="1:6">
      <c r="A53">
        <v>49</v>
      </c>
      <c r="B53" t="s">
        <v>625</v>
      </c>
      <c r="C53" t="s">
        <v>382</v>
      </c>
      <c r="D53" t="b">
        <v>1</v>
      </c>
      <c r="E53">
        <v>7</v>
      </c>
      <c r="F53">
        <v>7</v>
      </c>
    </row>
    <row r="54" spans="1:6">
      <c r="A54">
        <v>52</v>
      </c>
      <c r="B54" t="s">
        <v>625</v>
      </c>
      <c r="C54" t="s">
        <v>535</v>
      </c>
      <c r="D54" t="b">
        <v>0</v>
      </c>
      <c r="E54">
        <v>0</v>
      </c>
      <c r="F54">
        <v>0</v>
      </c>
    </row>
    <row r="55" spans="1:6">
      <c r="A55">
        <v>50</v>
      </c>
      <c r="B55" t="s">
        <v>625</v>
      </c>
      <c r="C55" t="s">
        <v>383</v>
      </c>
      <c r="D55" t="b">
        <v>0</v>
      </c>
      <c r="E55">
        <v>82</v>
      </c>
      <c r="F55">
        <v>72</v>
      </c>
    </row>
    <row r="56" spans="1:6">
      <c r="A56">
        <v>51</v>
      </c>
      <c r="B56" t="s">
        <v>625</v>
      </c>
      <c r="C56" t="s">
        <v>384</v>
      </c>
      <c r="D56" t="b">
        <v>1</v>
      </c>
      <c r="E56">
        <v>62</v>
      </c>
      <c r="F56">
        <v>62</v>
      </c>
    </row>
    <row r="57" spans="1:6">
      <c r="A57">
        <v>57</v>
      </c>
      <c r="B57" t="s">
        <v>625</v>
      </c>
      <c r="C57" t="s">
        <v>536</v>
      </c>
      <c r="D57" t="b">
        <v>0</v>
      </c>
      <c r="E57">
        <v>0</v>
      </c>
      <c r="F57">
        <v>0</v>
      </c>
    </row>
    <row r="58" spans="1:6">
      <c r="A58">
        <v>53</v>
      </c>
      <c r="B58" t="s">
        <v>625</v>
      </c>
      <c r="C58" t="s">
        <v>385</v>
      </c>
      <c r="D58" t="b">
        <v>1</v>
      </c>
      <c r="E58">
        <v>41</v>
      </c>
      <c r="F58">
        <v>41</v>
      </c>
    </row>
    <row r="59" spans="1:6">
      <c r="A59">
        <v>54</v>
      </c>
      <c r="B59" t="s">
        <v>625</v>
      </c>
      <c r="C59" t="s">
        <v>386</v>
      </c>
      <c r="D59" t="b">
        <v>1</v>
      </c>
      <c r="E59">
        <v>34</v>
      </c>
      <c r="F59">
        <v>34</v>
      </c>
    </row>
    <row r="60" spans="1:6">
      <c r="A60">
        <v>55</v>
      </c>
      <c r="B60" t="s">
        <v>625</v>
      </c>
      <c r="C60" t="s">
        <v>387</v>
      </c>
      <c r="D60" t="b">
        <v>1</v>
      </c>
      <c r="E60">
        <v>14</v>
      </c>
      <c r="F60">
        <v>14</v>
      </c>
    </row>
    <row r="61" spans="1:6">
      <c r="A61">
        <v>56</v>
      </c>
      <c r="B61" t="s">
        <v>625</v>
      </c>
      <c r="C61" t="s">
        <v>388</v>
      </c>
      <c r="D61" t="b">
        <v>1</v>
      </c>
      <c r="E61">
        <v>10</v>
      </c>
      <c r="F61">
        <v>10</v>
      </c>
    </row>
    <row r="62" spans="1:6">
      <c r="A62">
        <v>58</v>
      </c>
      <c r="B62" t="s">
        <v>625</v>
      </c>
      <c r="C62" t="s">
        <v>389</v>
      </c>
      <c r="D62" t="b">
        <v>0</v>
      </c>
      <c r="E62">
        <v>114</v>
      </c>
      <c r="F62">
        <v>96</v>
      </c>
    </row>
    <row r="63" spans="1:6">
      <c r="A63">
        <v>59</v>
      </c>
      <c r="B63" t="s">
        <v>625</v>
      </c>
      <c r="C63" t="s">
        <v>390</v>
      </c>
      <c r="D63" t="b">
        <v>0</v>
      </c>
      <c r="E63">
        <v>144</v>
      </c>
      <c r="F63">
        <v>134</v>
      </c>
    </row>
    <row r="64" spans="1:6">
      <c r="A64">
        <v>60</v>
      </c>
      <c r="B64" t="s">
        <v>625</v>
      </c>
      <c r="C64" t="s">
        <v>391</v>
      </c>
      <c r="D64" t="b">
        <v>1</v>
      </c>
      <c r="E64">
        <v>99</v>
      </c>
      <c r="F64">
        <v>99</v>
      </c>
    </row>
    <row r="65" spans="1:6">
      <c r="A65">
        <v>61</v>
      </c>
      <c r="B65" t="s">
        <v>625</v>
      </c>
      <c r="C65" t="s">
        <v>392</v>
      </c>
      <c r="D65" t="b">
        <v>0</v>
      </c>
      <c r="E65">
        <v>357</v>
      </c>
      <c r="F65">
        <v>329</v>
      </c>
    </row>
  </sheetData>
  <sheetProtection algorithmName="SHA-512" hashValue="YmwfV75Z6nubniavIcFcZTqUBHQun13QF+y1yF3Nra2PgMg10bhwpPBzc7/IJZPIe+Hc3KggISzY2IVNCDfSPA==" saltValue="OurKNM3ZokLDarxi37LGBQ==" spinCount="100000" sheet="1" objects="1" scenarios="1" formatCells="0"/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563"/>
  <sheetViews>
    <sheetView topLeftCell="I1" zoomScale="80" zoomScaleNormal="80" workbookViewId="0">
      <selection activeCell="AY3" sqref="AY3"/>
    </sheetView>
  </sheetViews>
  <sheetFormatPr defaultColWidth="8.7265625" defaultRowHeight="12.9" customHeight="1"/>
  <cols>
    <col min="1" max="1" width="17.1796875" style="201" customWidth="1"/>
    <col min="2" max="2" width="15.36328125" style="14" customWidth="1"/>
    <col min="3" max="3" width="13.26953125" style="14" customWidth="1"/>
    <col min="4" max="4" width="12.54296875" style="14" customWidth="1"/>
    <col min="5" max="50" width="10.54296875" style="14" customWidth="1"/>
    <col min="51" max="16384" width="8.7265625" style="15"/>
  </cols>
  <sheetData>
    <row r="1" spans="1:53" s="223" customFormat="1" ht="12.9" customHeight="1">
      <c r="A1" s="218" t="s">
        <v>599</v>
      </c>
      <c r="B1" s="219" t="s">
        <v>600</v>
      </c>
      <c r="C1" s="219" t="s">
        <v>601</v>
      </c>
      <c r="D1" s="219" t="s">
        <v>602</v>
      </c>
      <c r="E1" s="220">
        <v>1</v>
      </c>
      <c r="F1" s="220">
        <v>2</v>
      </c>
      <c r="G1" s="220">
        <v>3</v>
      </c>
      <c r="H1" s="220">
        <v>4</v>
      </c>
      <c r="I1" s="220">
        <v>5</v>
      </c>
      <c r="J1" s="220">
        <v>6</v>
      </c>
      <c r="K1" s="220">
        <v>7</v>
      </c>
      <c r="L1" s="220">
        <v>8</v>
      </c>
      <c r="M1" s="220">
        <v>9</v>
      </c>
      <c r="N1" s="220">
        <v>10</v>
      </c>
      <c r="O1" s="220">
        <v>11</v>
      </c>
      <c r="P1" s="220">
        <v>12</v>
      </c>
      <c r="Q1" s="220">
        <v>13</v>
      </c>
      <c r="R1" s="221">
        <v>14</v>
      </c>
      <c r="S1" s="221">
        <v>15</v>
      </c>
      <c r="T1" s="220">
        <v>16</v>
      </c>
      <c r="U1" s="220">
        <v>17</v>
      </c>
      <c r="V1" s="221">
        <v>18</v>
      </c>
      <c r="W1" s="221">
        <v>19</v>
      </c>
      <c r="X1" s="220">
        <v>201</v>
      </c>
      <c r="Y1" s="220">
        <v>202</v>
      </c>
      <c r="Z1" s="220">
        <v>203</v>
      </c>
      <c r="AA1" s="224" t="s">
        <v>611</v>
      </c>
      <c r="AB1" s="220">
        <v>205</v>
      </c>
      <c r="AC1" s="220">
        <v>206</v>
      </c>
      <c r="AD1" s="220">
        <v>21</v>
      </c>
      <c r="AE1" s="220">
        <v>22</v>
      </c>
      <c r="AF1" s="220">
        <v>23</v>
      </c>
      <c r="AG1" s="220">
        <v>24</v>
      </c>
      <c r="AH1" s="220">
        <v>25</v>
      </c>
      <c r="AI1" s="220">
        <v>26</v>
      </c>
      <c r="AJ1" s="220">
        <v>27</v>
      </c>
      <c r="AK1" s="220">
        <v>28</v>
      </c>
      <c r="AL1" s="220">
        <v>29</v>
      </c>
      <c r="AM1" s="220">
        <v>30</v>
      </c>
      <c r="AN1" s="220">
        <v>31</v>
      </c>
      <c r="AO1" s="220">
        <v>32</v>
      </c>
      <c r="AP1" s="220">
        <v>33</v>
      </c>
      <c r="AQ1" s="220">
        <v>34</v>
      </c>
      <c r="AR1" s="220">
        <v>35</v>
      </c>
      <c r="AS1" s="220">
        <v>36</v>
      </c>
      <c r="AT1" s="220">
        <v>37</v>
      </c>
      <c r="AU1" s="220">
        <v>38</v>
      </c>
      <c r="AV1" s="220">
        <v>39</v>
      </c>
      <c r="AW1" s="220">
        <v>40</v>
      </c>
      <c r="AX1" s="220">
        <v>41</v>
      </c>
      <c r="AY1" s="220">
        <v>42</v>
      </c>
      <c r="AZ1" s="222"/>
      <c r="BA1" s="222"/>
    </row>
    <row r="2" spans="1:53" ht="12.9" customHeight="1">
      <c r="B2" s="12"/>
      <c r="C2" s="12"/>
      <c r="D2" s="12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27"/>
      <c r="S2" s="27"/>
      <c r="T2" s="13"/>
      <c r="U2" s="13"/>
      <c r="V2" s="27"/>
      <c r="W2" s="27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4"/>
      <c r="BA2" s="14"/>
    </row>
    <row r="3" spans="1:53" s="26" customFormat="1" ht="12.9" customHeight="1">
      <c r="A3" s="202"/>
      <c r="B3" s="23" t="s">
        <v>473</v>
      </c>
      <c r="C3" s="23" t="s">
        <v>473</v>
      </c>
      <c r="D3" s="23" t="s">
        <v>473</v>
      </c>
      <c r="E3" s="23" t="s">
        <v>473</v>
      </c>
      <c r="F3" s="23" t="s">
        <v>473</v>
      </c>
      <c r="G3" s="24"/>
      <c r="H3" s="23" t="s">
        <v>473</v>
      </c>
      <c r="I3" s="23" t="s">
        <v>473</v>
      </c>
      <c r="J3" s="23" t="s">
        <v>473</v>
      </c>
      <c r="K3" s="23" t="s">
        <v>473</v>
      </c>
      <c r="L3" s="24"/>
      <c r="M3" s="23" t="s">
        <v>473</v>
      </c>
      <c r="N3" s="24"/>
      <c r="O3" s="24"/>
      <c r="P3" s="24"/>
      <c r="Q3" s="24"/>
      <c r="R3" s="23"/>
      <c r="S3" s="23"/>
      <c r="T3" s="23" t="s">
        <v>473</v>
      </c>
      <c r="U3" s="23" t="s">
        <v>473</v>
      </c>
      <c r="V3" s="23" t="s">
        <v>473</v>
      </c>
      <c r="W3" s="23" t="s">
        <v>473</v>
      </c>
      <c r="X3" s="24"/>
      <c r="Y3" s="24"/>
      <c r="Z3" s="24"/>
      <c r="AA3" s="24"/>
      <c r="AB3" s="24"/>
      <c r="AC3" s="24"/>
      <c r="AD3" s="24"/>
      <c r="AE3" s="24" t="s">
        <v>473</v>
      </c>
      <c r="AF3" s="24"/>
      <c r="AG3" s="24"/>
      <c r="AH3" s="24"/>
      <c r="AI3" s="24"/>
      <c r="AJ3" s="24"/>
      <c r="AK3" s="24"/>
      <c r="AL3" s="24"/>
      <c r="AM3" s="24"/>
      <c r="AN3" s="24" t="s">
        <v>473</v>
      </c>
      <c r="AO3" s="24"/>
      <c r="AP3" s="24"/>
      <c r="AQ3" s="24" t="s">
        <v>473</v>
      </c>
      <c r="AR3" s="24"/>
      <c r="AS3" s="24" t="s">
        <v>473</v>
      </c>
      <c r="AT3" s="24"/>
      <c r="AU3" s="24"/>
      <c r="AV3" s="24" t="s">
        <v>473</v>
      </c>
      <c r="AW3" s="24"/>
      <c r="AX3" s="24"/>
      <c r="AY3" s="24" t="s">
        <v>473</v>
      </c>
      <c r="AZ3" s="25"/>
      <c r="BA3" s="25"/>
    </row>
    <row r="4" spans="1:53" s="20" customFormat="1" ht="12.9" customHeight="1">
      <c r="A4" s="203" t="str">
        <f ca="1">TEXT(YEAR(NOW()),0)</f>
        <v>2015</v>
      </c>
      <c r="B4" s="16" t="s">
        <v>22</v>
      </c>
      <c r="C4" s="16" t="s">
        <v>294</v>
      </c>
      <c r="D4" s="17" t="s">
        <v>298</v>
      </c>
      <c r="E4" s="18" t="s">
        <v>0</v>
      </c>
      <c r="F4" s="18" t="s">
        <v>0</v>
      </c>
      <c r="G4" s="18" t="s">
        <v>0</v>
      </c>
      <c r="H4" s="18" t="s">
        <v>0</v>
      </c>
      <c r="I4" s="18" t="s">
        <v>0</v>
      </c>
      <c r="J4" s="18" t="s">
        <v>0</v>
      </c>
      <c r="K4" s="18" t="s">
        <v>0</v>
      </c>
      <c r="L4" s="18" t="s">
        <v>0</v>
      </c>
      <c r="M4" s="18" t="s">
        <v>0</v>
      </c>
      <c r="N4" s="18" t="s">
        <v>0</v>
      </c>
      <c r="O4" s="18" t="s">
        <v>0</v>
      </c>
      <c r="P4" s="18" t="s">
        <v>0</v>
      </c>
      <c r="Q4" s="18" t="s">
        <v>0</v>
      </c>
      <c r="R4" s="18" t="s">
        <v>0</v>
      </c>
      <c r="S4" s="18" t="s">
        <v>0</v>
      </c>
      <c r="T4" s="18" t="s">
        <v>0</v>
      </c>
      <c r="U4" s="18" t="s">
        <v>0</v>
      </c>
      <c r="V4" s="18" t="s">
        <v>0</v>
      </c>
      <c r="W4" s="18" t="s">
        <v>0</v>
      </c>
      <c r="X4" s="18" t="s">
        <v>0</v>
      </c>
      <c r="Y4" s="18" t="s">
        <v>0</v>
      </c>
      <c r="Z4" s="18" t="s">
        <v>0</v>
      </c>
      <c r="AA4" s="18" t="s">
        <v>0</v>
      </c>
      <c r="AB4" s="18" t="s">
        <v>0</v>
      </c>
      <c r="AC4" s="18" t="s">
        <v>0</v>
      </c>
      <c r="AD4" s="18" t="s">
        <v>0</v>
      </c>
      <c r="AE4" s="18" t="s">
        <v>0</v>
      </c>
      <c r="AF4" s="18" t="s">
        <v>0</v>
      </c>
      <c r="AG4" s="18" t="s">
        <v>0</v>
      </c>
      <c r="AH4" s="18" t="s">
        <v>0</v>
      </c>
      <c r="AI4" s="18" t="s">
        <v>0</v>
      </c>
      <c r="AJ4" s="18" t="s">
        <v>0</v>
      </c>
      <c r="AK4" s="18" t="s">
        <v>0</v>
      </c>
      <c r="AL4" s="18" t="s">
        <v>0</v>
      </c>
      <c r="AM4" s="18" t="s">
        <v>0</v>
      </c>
      <c r="AN4" s="18" t="s">
        <v>0</v>
      </c>
      <c r="AO4" s="18" t="s">
        <v>0</v>
      </c>
      <c r="AP4" s="18" t="s">
        <v>0</v>
      </c>
      <c r="AQ4" s="18" t="s">
        <v>0</v>
      </c>
      <c r="AR4" s="18" t="s">
        <v>0</v>
      </c>
      <c r="AS4" s="18" t="s">
        <v>0</v>
      </c>
      <c r="AT4" s="18" t="s">
        <v>0</v>
      </c>
      <c r="AU4" s="18" t="s">
        <v>0</v>
      </c>
      <c r="AV4" s="18" t="s">
        <v>0</v>
      </c>
      <c r="AW4" s="18" t="s">
        <v>0</v>
      </c>
      <c r="AX4" s="18" t="s">
        <v>0</v>
      </c>
      <c r="AY4" s="18" t="s">
        <v>0</v>
      </c>
      <c r="AZ4" s="19"/>
      <c r="BA4" s="19"/>
    </row>
    <row r="5" spans="1:53" s="20" customFormat="1" ht="26.15" customHeight="1">
      <c r="A5" s="203" t="str">
        <f ca="1">TEXT(A4-1,0)</f>
        <v>2014</v>
      </c>
      <c r="B5" s="16" t="s">
        <v>23</v>
      </c>
      <c r="C5" s="16" t="s">
        <v>293</v>
      </c>
      <c r="D5" s="17" t="s">
        <v>297</v>
      </c>
      <c r="E5" s="21" t="s">
        <v>6</v>
      </c>
      <c r="F5" s="21" t="s">
        <v>6</v>
      </c>
      <c r="G5" s="21" t="s">
        <v>6</v>
      </c>
      <c r="H5" s="21" t="s">
        <v>6</v>
      </c>
      <c r="I5" s="21" t="s">
        <v>6</v>
      </c>
      <c r="J5" s="21" t="s">
        <v>6</v>
      </c>
      <c r="K5" s="21" t="s">
        <v>6</v>
      </c>
      <c r="L5" s="21" t="s">
        <v>6</v>
      </c>
      <c r="M5" s="21" t="s">
        <v>6</v>
      </c>
      <c r="N5" s="21" t="s">
        <v>6</v>
      </c>
      <c r="O5" s="21" t="s">
        <v>6</v>
      </c>
      <c r="P5" s="21" t="s">
        <v>6</v>
      </c>
      <c r="Q5" s="21" t="s">
        <v>6</v>
      </c>
      <c r="R5" s="21" t="s">
        <v>6</v>
      </c>
      <c r="S5" s="21" t="s">
        <v>6</v>
      </c>
      <c r="T5" s="21" t="s">
        <v>6</v>
      </c>
      <c r="U5" s="21" t="s">
        <v>6</v>
      </c>
      <c r="V5" s="21" t="s">
        <v>6</v>
      </c>
      <c r="W5" s="21" t="s">
        <v>6</v>
      </c>
      <c r="X5" s="21" t="s">
        <v>6</v>
      </c>
      <c r="Y5" s="21" t="s">
        <v>6</v>
      </c>
      <c r="Z5" s="21" t="s">
        <v>6</v>
      </c>
      <c r="AA5" s="21" t="s">
        <v>6</v>
      </c>
      <c r="AB5" s="21" t="s">
        <v>6</v>
      </c>
      <c r="AC5" s="21" t="s">
        <v>6</v>
      </c>
      <c r="AD5" s="21" t="s">
        <v>6</v>
      </c>
      <c r="AE5" s="21" t="s">
        <v>6</v>
      </c>
      <c r="AF5" s="21" t="s">
        <v>6</v>
      </c>
      <c r="AG5" s="21" t="s">
        <v>6</v>
      </c>
      <c r="AH5" s="21" t="s">
        <v>6</v>
      </c>
      <c r="AI5" s="21" t="s">
        <v>6</v>
      </c>
      <c r="AJ5" s="21" t="s">
        <v>6</v>
      </c>
      <c r="AK5" s="21" t="s">
        <v>6</v>
      </c>
      <c r="AL5" s="21" t="s">
        <v>6</v>
      </c>
      <c r="AM5" s="21" t="s">
        <v>6</v>
      </c>
      <c r="AN5" s="21" t="s">
        <v>6</v>
      </c>
      <c r="AO5" s="21" t="s">
        <v>6</v>
      </c>
      <c r="AP5" s="21" t="s">
        <v>6</v>
      </c>
      <c r="AQ5" s="21" t="s">
        <v>6</v>
      </c>
      <c r="AR5" s="21" t="s">
        <v>6</v>
      </c>
      <c r="AS5" s="21" t="s">
        <v>6</v>
      </c>
      <c r="AT5" s="21" t="s">
        <v>6</v>
      </c>
      <c r="AU5" s="21" t="s">
        <v>6</v>
      </c>
      <c r="AV5" s="21" t="s">
        <v>6</v>
      </c>
      <c r="AW5" s="21" t="s">
        <v>6</v>
      </c>
      <c r="AX5" s="21" t="s">
        <v>6</v>
      </c>
      <c r="AY5" s="21" t="s">
        <v>6</v>
      </c>
      <c r="AZ5" s="21"/>
      <c r="BA5" s="19"/>
    </row>
    <row r="6" spans="1:53" s="20" customFormat="1" ht="26.15" customHeight="1">
      <c r="A6" s="203" t="str">
        <f t="shared" ref="A6:A59" ca="1" si="0">TEXT(A5-1,0)</f>
        <v>2013</v>
      </c>
      <c r="B6" s="16" t="s">
        <v>24</v>
      </c>
      <c r="C6" s="16" t="s">
        <v>295</v>
      </c>
      <c r="D6" s="17" t="s">
        <v>303</v>
      </c>
      <c r="E6" s="22"/>
      <c r="F6" s="22"/>
      <c r="G6" s="22"/>
      <c r="H6" s="22" t="s">
        <v>448</v>
      </c>
      <c r="I6" s="22" t="s">
        <v>448</v>
      </c>
      <c r="J6" s="22" t="s">
        <v>448</v>
      </c>
      <c r="K6" s="22" t="s">
        <v>448</v>
      </c>
      <c r="L6" s="22" t="s">
        <v>448</v>
      </c>
      <c r="M6" s="22" t="s">
        <v>448</v>
      </c>
      <c r="N6" s="22" t="s">
        <v>448</v>
      </c>
      <c r="O6" s="22" t="s">
        <v>448</v>
      </c>
      <c r="P6" s="22" t="s">
        <v>448</v>
      </c>
      <c r="Q6" s="22" t="s">
        <v>448</v>
      </c>
      <c r="R6" s="22" t="s">
        <v>448</v>
      </c>
      <c r="S6" s="22"/>
      <c r="T6" s="22" t="s">
        <v>448</v>
      </c>
      <c r="U6" s="22" t="s">
        <v>448</v>
      </c>
      <c r="V6" s="22" t="s">
        <v>448</v>
      </c>
      <c r="W6" s="22" t="s">
        <v>448</v>
      </c>
      <c r="X6" s="22" t="s">
        <v>448</v>
      </c>
      <c r="Y6" s="22" t="s">
        <v>448</v>
      </c>
      <c r="Z6" s="22" t="s">
        <v>448</v>
      </c>
      <c r="AA6" s="22" t="s">
        <v>448</v>
      </c>
      <c r="AB6" s="22" t="s">
        <v>448</v>
      </c>
      <c r="AC6" s="22" t="s">
        <v>448</v>
      </c>
      <c r="AD6" s="22" t="s">
        <v>448</v>
      </c>
      <c r="AE6" s="22" t="s">
        <v>448</v>
      </c>
      <c r="AF6" s="22" t="s">
        <v>448</v>
      </c>
      <c r="AG6" s="22" t="s">
        <v>448</v>
      </c>
      <c r="AH6" s="22" t="s">
        <v>448</v>
      </c>
      <c r="AI6" s="22" t="s">
        <v>448</v>
      </c>
      <c r="AJ6" s="22" t="s">
        <v>448</v>
      </c>
      <c r="AK6" s="22" t="s">
        <v>448</v>
      </c>
      <c r="AL6" s="22" t="s">
        <v>448</v>
      </c>
      <c r="AM6" s="22" t="s">
        <v>448</v>
      </c>
      <c r="AN6" s="22" t="s">
        <v>448</v>
      </c>
      <c r="AO6" s="22" t="s">
        <v>448</v>
      </c>
      <c r="AP6" s="22" t="s">
        <v>448</v>
      </c>
      <c r="AQ6" s="22" t="s">
        <v>448</v>
      </c>
      <c r="AR6" s="22" t="s">
        <v>448</v>
      </c>
      <c r="AS6" s="22" t="s">
        <v>448</v>
      </c>
      <c r="AT6" s="22" t="s">
        <v>448</v>
      </c>
      <c r="AU6" s="22" t="s">
        <v>448</v>
      </c>
      <c r="AV6" s="22" t="s">
        <v>448</v>
      </c>
      <c r="AW6" s="22"/>
      <c r="AX6" s="22"/>
      <c r="AY6" s="22"/>
      <c r="AZ6" s="19"/>
      <c r="BA6" s="19"/>
    </row>
    <row r="7" spans="1:53" s="20" customFormat="1" ht="12.9" customHeight="1">
      <c r="A7" s="203" t="str">
        <f t="shared" ca="1" si="0"/>
        <v>2012</v>
      </c>
      <c r="B7" s="16" t="s">
        <v>25</v>
      </c>
      <c r="C7" s="16" t="s">
        <v>296</v>
      </c>
      <c r="E7" s="22"/>
      <c r="F7" s="22"/>
      <c r="G7" s="22"/>
      <c r="H7" s="21"/>
      <c r="I7" s="21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1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1"/>
      <c r="AR7" s="22"/>
      <c r="AS7" s="22"/>
      <c r="AT7" s="22"/>
      <c r="AU7" s="22"/>
      <c r="AV7" s="22"/>
      <c r="AW7" s="22"/>
      <c r="AX7" s="22"/>
      <c r="AY7" s="22"/>
      <c r="AZ7" s="19"/>
      <c r="BA7" s="19"/>
    </row>
    <row r="8" spans="1:53" s="20" customFormat="1" ht="12.9" customHeight="1">
      <c r="A8" s="203" t="str">
        <f t="shared" ca="1" si="0"/>
        <v>2011</v>
      </c>
      <c r="B8" s="16" t="s">
        <v>26</v>
      </c>
      <c r="C8" s="16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19"/>
      <c r="AR8" s="22"/>
      <c r="AS8" s="22"/>
      <c r="AT8" s="22"/>
      <c r="AU8" s="22"/>
      <c r="AV8" s="22"/>
      <c r="AW8" s="22"/>
      <c r="AX8" s="22"/>
      <c r="AY8" s="22"/>
      <c r="AZ8" s="19"/>
      <c r="BA8" s="19"/>
    </row>
    <row r="9" spans="1:53" s="20" customFormat="1" ht="12.9" customHeight="1">
      <c r="A9" s="203" t="str">
        <f t="shared" ca="1" si="0"/>
        <v>2010</v>
      </c>
      <c r="B9" s="16" t="s">
        <v>27</v>
      </c>
      <c r="C9" s="16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19"/>
      <c r="BA9" s="19"/>
    </row>
    <row r="10" spans="1:53" s="20" customFormat="1" ht="12.9" customHeight="1">
      <c r="A10" s="203" t="str">
        <f t="shared" ca="1" si="0"/>
        <v>2009</v>
      </c>
      <c r="B10" s="16" t="s">
        <v>28</v>
      </c>
      <c r="C10" s="16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19"/>
      <c r="BA10" s="19"/>
    </row>
    <row r="11" spans="1:53" s="20" customFormat="1" ht="12.9" customHeight="1">
      <c r="A11" s="203" t="str">
        <f t="shared" ca="1" si="0"/>
        <v>2008</v>
      </c>
      <c r="B11" s="16" t="s">
        <v>29</v>
      </c>
      <c r="C11" s="16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19"/>
      <c r="BA11" s="19"/>
    </row>
    <row r="12" spans="1:53" s="20" customFormat="1" ht="12.9" customHeight="1">
      <c r="A12" s="203" t="str">
        <f t="shared" ca="1" si="0"/>
        <v>2007</v>
      </c>
      <c r="B12" s="16" t="s">
        <v>30</v>
      </c>
      <c r="C12" s="16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19"/>
      <c r="BA12" s="19"/>
    </row>
    <row r="13" spans="1:53" s="20" customFormat="1" ht="12.9" customHeight="1">
      <c r="A13" s="203" t="str">
        <f t="shared" ca="1" si="0"/>
        <v>2006</v>
      </c>
      <c r="B13" s="16" t="s">
        <v>31</v>
      </c>
      <c r="C13" s="16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</row>
    <row r="14" spans="1:53" s="20" customFormat="1" ht="12.9" customHeight="1">
      <c r="A14" s="203" t="str">
        <f t="shared" ca="1" si="0"/>
        <v>2005</v>
      </c>
      <c r="B14" s="16" t="s">
        <v>32</v>
      </c>
      <c r="C14" s="16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</row>
    <row r="15" spans="1:53" s="20" customFormat="1" ht="12.9" customHeight="1">
      <c r="A15" s="203" t="str">
        <f t="shared" ca="1" si="0"/>
        <v>2004</v>
      </c>
      <c r="B15" s="16" t="s">
        <v>33</v>
      </c>
      <c r="C15" s="16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</row>
    <row r="16" spans="1:53" s="20" customFormat="1" ht="12.9" customHeight="1">
      <c r="A16" s="203" t="str">
        <f t="shared" ca="1" si="0"/>
        <v>2003</v>
      </c>
      <c r="B16" s="16" t="s">
        <v>34</v>
      </c>
      <c r="C16" s="16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</row>
    <row r="17" spans="1:53" s="20" customFormat="1" ht="12.9" customHeight="1">
      <c r="A17" s="203" t="str">
        <f t="shared" ca="1" si="0"/>
        <v>2002</v>
      </c>
      <c r="B17" s="16" t="s">
        <v>3</v>
      </c>
      <c r="C17" s="16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</row>
    <row r="18" spans="1:53" s="20" customFormat="1" ht="12.9" customHeight="1">
      <c r="A18" s="203" t="str">
        <f t="shared" ca="1" si="0"/>
        <v>2001</v>
      </c>
      <c r="B18" s="16" t="s">
        <v>35</v>
      </c>
      <c r="C18" s="16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</row>
    <row r="19" spans="1:53" s="20" customFormat="1" ht="12.9" customHeight="1">
      <c r="A19" s="203" t="str">
        <f t="shared" ca="1" si="0"/>
        <v>2000</v>
      </c>
      <c r="B19" s="16" t="s">
        <v>36</v>
      </c>
      <c r="C19" s="16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</row>
    <row r="20" spans="1:53" s="20" customFormat="1" ht="12.9" customHeight="1">
      <c r="A20" s="203" t="str">
        <f t="shared" ca="1" si="0"/>
        <v>1999</v>
      </c>
      <c r="B20" s="16" t="s">
        <v>37</v>
      </c>
      <c r="C20" s="16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</row>
    <row r="21" spans="1:53" s="20" customFormat="1" ht="12.9" customHeight="1">
      <c r="A21" s="203" t="str">
        <f t="shared" ca="1" si="0"/>
        <v>1998</v>
      </c>
      <c r="B21" s="16" t="s">
        <v>38</v>
      </c>
      <c r="C21" s="16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</row>
    <row r="22" spans="1:53" s="20" customFormat="1" ht="12.9" customHeight="1">
      <c r="A22" s="203" t="str">
        <f t="shared" ca="1" si="0"/>
        <v>1997</v>
      </c>
      <c r="B22" s="16" t="s">
        <v>39</v>
      </c>
      <c r="C22" s="16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</row>
    <row r="23" spans="1:53" s="20" customFormat="1" ht="12.9" customHeight="1">
      <c r="A23" s="203" t="str">
        <f t="shared" ca="1" si="0"/>
        <v>1996</v>
      </c>
      <c r="B23" s="16" t="s">
        <v>40</v>
      </c>
      <c r="C23" s="16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</row>
    <row r="24" spans="1:53" s="20" customFormat="1" ht="12.9" customHeight="1">
      <c r="A24" s="203" t="str">
        <f t="shared" ca="1" si="0"/>
        <v>1995</v>
      </c>
      <c r="B24" s="16" t="s">
        <v>41</v>
      </c>
      <c r="C24" s="16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</row>
    <row r="25" spans="1:53" s="20" customFormat="1" ht="12.9" customHeight="1">
      <c r="A25" s="203" t="str">
        <f t="shared" ca="1" si="0"/>
        <v>1994</v>
      </c>
      <c r="B25" s="16" t="s">
        <v>42</v>
      </c>
      <c r="C25" s="16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</row>
    <row r="26" spans="1:53" s="20" customFormat="1" ht="12.9" customHeight="1">
      <c r="A26" s="203" t="str">
        <f t="shared" ca="1" si="0"/>
        <v>1993</v>
      </c>
      <c r="B26" s="16" t="s">
        <v>43</v>
      </c>
      <c r="C26" s="16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</row>
    <row r="27" spans="1:53" s="20" customFormat="1" ht="12.9" customHeight="1">
      <c r="A27" s="203" t="str">
        <f t="shared" ca="1" si="0"/>
        <v>1992</v>
      </c>
      <c r="B27" s="16" t="s">
        <v>44</v>
      </c>
      <c r="C27" s="16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</row>
    <row r="28" spans="1:53" s="20" customFormat="1" ht="12.9" customHeight="1">
      <c r="A28" s="203" t="str">
        <f t="shared" ca="1" si="0"/>
        <v>1991</v>
      </c>
      <c r="B28" s="16" t="s">
        <v>45</v>
      </c>
      <c r="C28" s="16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</row>
    <row r="29" spans="1:53" s="20" customFormat="1" ht="12.9" customHeight="1">
      <c r="A29" s="203" t="str">
        <f t="shared" ca="1" si="0"/>
        <v>1990</v>
      </c>
      <c r="B29" s="16" t="s">
        <v>46</v>
      </c>
      <c r="C29" s="16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</row>
    <row r="30" spans="1:53" s="20" customFormat="1" ht="12.9" customHeight="1">
      <c r="A30" s="203" t="str">
        <f t="shared" ca="1" si="0"/>
        <v>1989</v>
      </c>
      <c r="B30" s="16" t="s">
        <v>47</v>
      </c>
      <c r="C30" s="16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</row>
    <row r="31" spans="1:53" s="20" customFormat="1" ht="12.9" customHeight="1">
      <c r="A31" s="203" t="str">
        <f t="shared" ca="1" si="0"/>
        <v>1988</v>
      </c>
      <c r="B31" s="17" t="s">
        <v>48</v>
      </c>
      <c r="C31" s="17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</row>
    <row r="32" spans="1:53" s="20" customFormat="1" ht="12.9" customHeight="1">
      <c r="A32" s="203" t="str">
        <f t="shared" ca="1" si="0"/>
        <v>1987</v>
      </c>
      <c r="B32" s="17" t="s">
        <v>49</v>
      </c>
      <c r="C32" s="17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</row>
    <row r="33" spans="1:53" s="20" customFormat="1" ht="12.9" customHeight="1">
      <c r="A33" s="203" t="str">
        <f t="shared" ca="1" si="0"/>
        <v>1986</v>
      </c>
      <c r="B33" s="17" t="s">
        <v>50</v>
      </c>
      <c r="C33" s="17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</row>
    <row r="34" spans="1:53" s="20" customFormat="1" ht="12.9" customHeight="1">
      <c r="A34" s="203" t="str">
        <f t="shared" ca="1" si="0"/>
        <v>1985</v>
      </c>
      <c r="B34" s="17" t="s">
        <v>51</v>
      </c>
      <c r="C34" s="17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</row>
    <row r="35" spans="1:53" s="20" customFormat="1" ht="12.9" customHeight="1">
      <c r="A35" s="203" t="str">
        <f t="shared" ca="1" si="0"/>
        <v>1984</v>
      </c>
      <c r="B35" s="17" t="s">
        <v>52</v>
      </c>
      <c r="C35" s="17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</row>
    <row r="36" spans="1:53" s="20" customFormat="1" ht="12.9" customHeight="1">
      <c r="A36" s="203" t="str">
        <f t="shared" ca="1" si="0"/>
        <v>1983</v>
      </c>
      <c r="B36" s="17" t="s">
        <v>53</v>
      </c>
      <c r="C36" s="17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</row>
    <row r="37" spans="1:53" s="20" customFormat="1" ht="12.9" customHeight="1">
      <c r="A37" s="203" t="str">
        <f t="shared" ca="1" si="0"/>
        <v>1982</v>
      </c>
      <c r="B37" s="17" t="s">
        <v>54</v>
      </c>
      <c r="C37" s="17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</row>
    <row r="38" spans="1:53" s="20" customFormat="1" ht="12.9" customHeight="1">
      <c r="A38" s="203" t="str">
        <f t="shared" ca="1" si="0"/>
        <v>1981</v>
      </c>
      <c r="B38" s="17" t="s">
        <v>55</v>
      </c>
      <c r="C38" s="17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</row>
    <row r="39" spans="1:53" s="20" customFormat="1" ht="12.9" customHeight="1">
      <c r="A39" s="203" t="str">
        <f t="shared" ca="1" si="0"/>
        <v>1980</v>
      </c>
      <c r="B39" s="17" t="s">
        <v>56</v>
      </c>
      <c r="C39" s="17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</row>
    <row r="40" spans="1:53" s="20" customFormat="1" ht="12.9" customHeight="1">
      <c r="A40" s="203" t="str">
        <f t="shared" ca="1" si="0"/>
        <v>1979</v>
      </c>
      <c r="B40" s="17" t="s">
        <v>57</v>
      </c>
      <c r="C40" s="17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</row>
    <row r="41" spans="1:53" s="20" customFormat="1" ht="12.9" customHeight="1">
      <c r="A41" s="203" t="str">
        <f t="shared" ca="1" si="0"/>
        <v>1978</v>
      </c>
      <c r="B41" s="17" t="s">
        <v>58</v>
      </c>
      <c r="C41" s="17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</row>
    <row r="42" spans="1:53" s="20" customFormat="1" ht="12.9" customHeight="1">
      <c r="A42" s="203" t="str">
        <f t="shared" ca="1" si="0"/>
        <v>1977</v>
      </c>
      <c r="B42" s="17" t="s">
        <v>59</v>
      </c>
      <c r="C42" s="17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</row>
    <row r="43" spans="1:53" s="20" customFormat="1" ht="12.9" customHeight="1">
      <c r="A43" s="203" t="str">
        <f t="shared" ca="1" si="0"/>
        <v>1976</v>
      </c>
      <c r="B43" s="17" t="s">
        <v>60</v>
      </c>
      <c r="C43" s="17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</row>
    <row r="44" spans="1:53" s="20" customFormat="1" ht="12.9" customHeight="1">
      <c r="A44" s="203" t="str">
        <f t="shared" ca="1" si="0"/>
        <v>1975</v>
      </c>
      <c r="B44" s="17" t="s">
        <v>61</v>
      </c>
      <c r="C44" s="17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</row>
    <row r="45" spans="1:53" s="20" customFormat="1" ht="12.9" customHeight="1">
      <c r="A45" s="203" t="str">
        <f t="shared" ca="1" si="0"/>
        <v>1974</v>
      </c>
      <c r="B45" s="17" t="s">
        <v>62</v>
      </c>
      <c r="C45" s="17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</row>
    <row r="46" spans="1:53" s="20" customFormat="1" ht="12.9" customHeight="1">
      <c r="A46" s="203" t="str">
        <f t="shared" ca="1" si="0"/>
        <v>1973</v>
      </c>
      <c r="B46" s="17" t="s">
        <v>63</v>
      </c>
      <c r="C46" s="17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</row>
    <row r="47" spans="1:53" s="20" customFormat="1" ht="12.9" customHeight="1">
      <c r="A47" s="203" t="str">
        <f t="shared" ca="1" si="0"/>
        <v>1972</v>
      </c>
      <c r="B47" s="17" t="s">
        <v>64</v>
      </c>
      <c r="C47" s="17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</row>
    <row r="48" spans="1:53" s="20" customFormat="1" ht="12.9" customHeight="1">
      <c r="A48" s="203" t="str">
        <f t="shared" ca="1" si="0"/>
        <v>1971</v>
      </c>
      <c r="B48" s="17" t="s">
        <v>65</v>
      </c>
      <c r="C48" s="17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</row>
    <row r="49" spans="1:53" s="20" customFormat="1" ht="12.9" customHeight="1">
      <c r="A49" s="203" t="str">
        <f t="shared" ca="1" si="0"/>
        <v>1970</v>
      </c>
      <c r="B49" s="17" t="s">
        <v>66</v>
      </c>
      <c r="C49" s="17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</row>
    <row r="50" spans="1:53" s="20" customFormat="1" ht="12.9" customHeight="1">
      <c r="A50" s="203" t="str">
        <f t="shared" ca="1" si="0"/>
        <v>1969</v>
      </c>
      <c r="B50" s="17" t="s">
        <v>67</v>
      </c>
      <c r="C50" s="17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</row>
    <row r="51" spans="1:53" s="20" customFormat="1" ht="12.9" customHeight="1">
      <c r="A51" s="203" t="str">
        <f t="shared" ca="1" si="0"/>
        <v>1968</v>
      </c>
      <c r="B51" s="17" t="s">
        <v>68</v>
      </c>
      <c r="C51" s="17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</row>
    <row r="52" spans="1:53" s="20" customFormat="1" ht="12.9" customHeight="1">
      <c r="A52" s="203" t="str">
        <f t="shared" ca="1" si="0"/>
        <v>1967</v>
      </c>
      <c r="B52" s="17" t="s">
        <v>69</v>
      </c>
      <c r="C52" s="17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</row>
    <row r="53" spans="1:53" s="20" customFormat="1" ht="12.9" customHeight="1">
      <c r="A53" s="203" t="str">
        <f t="shared" ca="1" si="0"/>
        <v>1966</v>
      </c>
      <c r="B53" s="17" t="s">
        <v>70</v>
      </c>
      <c r="C53" s="17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</row>
    <row r="54" spans="1:53" s="20" customFormat="1" ht="12.9" customHeight="1">
      <c r="A54" s="203" t="str">
        <f t="shared" ca="1" si="0"/>
        <v>1965</v>
      </c>
      <c r="B54" s="17" t="s">
        <v>71</v>
      </c>
      <c r="C54" s="17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</row>
    <row r="55" spans="1:53" s="20" customFormat="1" ht="12.9" customHeight="1">
      <c r="A55" s="203" t="str">
        <f t="shared" ca="1" si="0"/>
        <v>1964</v>
      </c>
      <c r="B55" s="17" t="s">
        <v>72</v>
      </c>
      <c r="C55" s="17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</row>
    <row r="56" spans="1:53" s="20" customFormat="1" ht="12.9" customHeight="1">
      <c r="A56" s="203" t="str">
        <f t="shared" ca="1" si="0"/>
        <v>1963</v>
      </c>
      <c r="B56" s="17" t="s">
        <v>73</v>
      </c>
      <c r="C56" s="17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</row>
    <row r="57" spans="1:53" s="20" customFormat="1" ht="12.9" customHeight="1">
      <c r="A57" s="203" t="str">
        <f t="shared" ca="1" si="0"/>
        <v>1962</v>
      </c>
      <c r="B57" s="17" t="s">
        <v>74</v>
      </c>
      <c r="C57" s="17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</row>
    <row r="58" spans="1:53" s="20" customFormat="1" ht="12.9" customHeight="1">
      <c r="A58" s="203" t="str">
        <f t="shared" ca="1" si="0"/>
        <v>1961</v>
      </c>
      <c r="B58" s="17" t="s">
        <v>75</v>
      </c>
      <c r="C58" s="17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</row>
    <row r="59" spans="1:53" s="20" customFormat="1" ht="12.9" customHeight="1">
      <c r="A59" s="203" t="str">
        <f t="shared" ca="1" si="0"/>
        <v>1960</v>
      </c>
      <c r="B59" s="17" t="s">
        <v>76</v>
      </c>
      <c r="C59" s="17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</row>
    <row r="60" spans="1:53" s="20" customFormat="1" ht="12.9" customHeight="1">
      <c r="A60" s="203"/>
      <c r="B60" s="17" t="s">
        <v>77</v>
      </c>
      <c r="C60" s="17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</row>
    <row r="61" spans="1:53" s="20" customFormat="1" ht="12.9" customHeight="1">
      <c r="A61" s="203"/>
      <c r="B61" s="17" t="s">
        <v>78</v>
      </c>
      <c r="C61" s="17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</row>
    <row r="62" spans="1:53" s="20" customFormat="1" ht="12.9" customHeight="1">
      <c r="A62" s="203"/>
      <c r="B62" s="17" t="s">
        <v>79</v>
      </c>
      <c r="C62" s="17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</row>
    <row r="63" spans="1:53" s="20" customFormat="1" ht="12.9" customHeight="1">
      <c r="A63" s="203"/>
      <c r="B63" s="17" t="s">
        <v>80</v>
      </c>
      <c r="C63" s="17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</row>
    <row r="64" spans="1:53" s="20" customFormat="1" ht="12.9" customHeight="1">
      <c r="A64" s="203"/>
      <c r="B64" s="17" t="s">
        <v>81</v>
      </c>
      <c r="C64" s="17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</row>
    <row r="65" spans="1:53" s="20" customFormat="1" ht="12.9" customHeight="1">
      <c r="A65" s="203"/>
      <c r="B65" s="17" t="s">
        <v>82</v>
      </c>
      <c r="C65" s="17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</row>
    <row r="66" spans="1:53" s="20" customFormat="1" ht="12.9" customHeight="1">
      <c r="A66" s="203"/>
      <c r="B66" s="17" t="s">
        <v>83</v>
      </c>
      <c r="C66" s="17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</row>
    <row r="67" spans="1:53" s="20" customFormat="1" ht="12.9" customHeight="1">
      <c r="A67" s="203"/>
      <c r="B67" s="17" t="s">
        <v>84</v>
      </c>
      <c r="C67" s="17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</row>
    <row r="68" spans="1:53" s="20" customFormat="1" ht="12.9" customHeight="1">
      <c r="A68" s="203"/>
      <c r="B68" s="17" t="s">
        <v>85</v>
      </c>
      <c r="C68" s="17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</row>
    <row r="69" spans="1:53" s="20" customFormat="1" ht="12.9" customHeight="1">
      <c r="A69" s="203"/>
      <c r="B69" s="17" t="s">
        <v>86</v>
      </c>
      <c r="C69" s="17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</row>
    <row r="70" spans="1:53" s="20" customFormat="1" ht="12.9" customHeight="1">
      <c r="A70" s="203"/>
      <c r="B70" s="17" t="s">
        <v>87</v>
      </c>
      <c r="C70" s="17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</row>
    <row r="71" spans="1:53" s="20" customFormat="1" ht="12.9" customHeight="1">
      <c r="A71" s="203"/>
      <c r="B71" s="17" t="s">
        <v>88</v>
      </c>
      <c r="C71" s="17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</row>
    <row r="72" spans="1:53" s="20" customFormat="1" ht="12.9" customHeight="1">
      <c r="A72" s="203"/>
      <c r="B72" s="17" t="s">
        <v>89</v>
      </c>
      <c r="C72" s="17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</row>
    <row r="73" spans="1:53" s="20" customFormat="1" ht="12.9" customHeight="1">
      <c r="A73" s="203"/>
      <c r="B73" s="17" t="s">
        <v>90</v>
      </c>
      <c r="C73" s="17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</row>
    <row r="74" spans="1:53" s="20" customFormat="1" ht="12.9" customHeight="1">
      <c r="A74" s="203"/>
      <c r="B74" s="17" t="s">
        <v>91</v>
      </c>
      <c r="C74" s="17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</row>
    <row r="75" spans="1:53" s="20" customFormat="1" ht="12.9" customHeight="1">
      <c r="A75" s="203"/>
      <c r="B75" s="17" t="s">
        <v>92</v>
      </c>
      <c r="C75" s="17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</row>
    <row r="76" spans="1:53" s="20" customFormat="1" ht="12.9" customHeight="1">
      <c r="A76" s="203"/>
      <c r="B76" s="17" t="s">
        <v>93</v>
      </c>
      <c r="C76" s="17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</row>
    <row r="77" spans="1:53" s="20" customFormat="1" ht="12.9" customHeight="1">
      <c r="A77" s="203"/>
      <c r="B77" s="17" t="s">
        <v>94</v>
      </c>
      <c r="C77" s="17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</row>
    <row r="78" spans="1:53" s="20" customFormat="1" ht="12.9" customHeight="1">
      <c r="A78" s="203"/>
      <c r="B78" s="17" t="s">
        <v>95</v>
      </c>
      <c r="C78" s="17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</row>
    <row r="79" spans="1:53" s="20" customFormat="1" ht="12.9" customHeight="1">
      <c r="A79" s="203"/>
      <c r="B79" s="17" t="s">
        <v>96</v>
      </c>
      <c r="C79" s="17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</row>
    <row r="80" spans="1:53" s="20" customFormat="1" ht="12.9" customHeight="1">
      <c r="A80" s="203"/>
      <c r="B80" s="17" t="s">
        <v>97</v>
      </c>
      <c r="C80" s="17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</row>
    <row r="81" spans="1:53" s="20" customFormat="1" ht="12.9" customHeight="1">
      <c r="A81" s="203"/>
      <c r="B81" s="17" t="s">
        <v>98</v>
      </c>
      <c r="C81" s="17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</row>
    <row r="82" spans="1:53" s="20" customFormat="1" ht="12.9" customHeight="1">
      <c r="A82" s="203"/>
      <c r="B82" s="17" t="s">
        <v>99</v>
      </c>
      <c r="C82" s="17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</row>
    <row r="83" spans="1:53" s="20" customFormat="1" ht="12.9" customHeight="1">
      <c r="A83" s="203"/>
      <c r="B83" s="17" t="s">
        <v>100</v>
      </c>
      <c r="C83" s="17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</row>
    <row r="84" spans="1:53" s="20" customFormat="1" ht="12.9" customHeight="1">
      <c r="A84" s="203"/>
      <c r="B84" s="17" t="s">
        <v>101</v>
      </c>
      <c r="C84" s="17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</row>
    <row r="85" spans="1:53" s="20" customFormat="1" ht="12.9" customHeight="1">
      <c r="A85" s="203"/>
      <c r="B85" s="17" t="s">
        <v>102</v>
      </c>
      <c r="C85" s="17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</row>
    <row r="86" spans="1:53" s="20" customFormat="1" ht="12.9" customHeight="1">
      <c r="A86" s="203"/>
      <c r="B86" s="17" t="s">
        <v>103</v>
      </c>
      <c r="C86" s="17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</row>
    <row r="87" spans="1:53" s="20" customFormat="1" ht="12.9" customHeight="1">
      <c r="A87" s="203"/>
      <c r="B87" s="17" t="s">
        <v>104</v>
      </c>
      <c r="C87" s="17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</row>
    <row r="88" spans="1:53" s="20" customFormat="1" ht="12.9" customHeight="1">
      <c r="A88" s="203"/>
      <c r="B88" s="17" t="s">
        <v>105</v>
      </c>
      <c r="C88" s="17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</row>
    <row r="89" spans="1:53" s="20" customFormat="1" ht="12.9" customHeight="1">
      <c r="A89" s="203"/>
      <c r="B89" s="17" t="s">
        <v>106</v>
      </c>
      <c r="C89" s="17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</row>
    <row r="90" spans="1:53" s="20" customFormat="1" ht="12.9" customHeight="1">
      <c r="A90" s="203"/>
      <c r="B90" s="17" t="s">
        <v>107</v>
      </c>
      <c r="C90" s="17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</row>
    <row r="91" spans="1:53" s="20" customFormat="1" ht="12.9" customHeight="1">
      <c r="A91" s="203"/>
      <c r="B91" s="17" t="s">
        <v>108</v>
      </c>
      <c r="C91" s="17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</row>
    <row r="92" spans="1:53" s="20" customFormat="1" ht="12.9" customHeight="1">
      <c r="A92" s="203"/>
      <c r="B92" s="17" t="s">
        <v>109</v>
      </c>
      <c r="C92" s="17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</row>
    <row r="93" spans="1:53" s="20" customFormat="1" ht="12.9" customHeight="1">
      <c r="A93" s="203"/>
      <c r="B93" s="17" t="s">
        <v>110</v>
      </c>
      <c r="C93" s="17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</row>
    <row r="94" spans="1:53" s="20" customFormat="1" ht="12.9" customHeight="1">
      <c r="A94" s="203"/>
      <c r="B94" s="17" t="s">
        <v>111</v>
      </c>
      <c r="C94" s="17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</row>
    <row r="95" spans="1:53" s="20" customFormat="1" ht="12.9" customHeight="1">
      <c r="A95" s="203"/>
      <c r="B95" s="17" t="s">
        <v>112</v>
      </c>
      <c r="C95" s="17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</row>
    <row r="96" spans="1:53" s="20" customFormat="1" ht="12.9" customHeight="1">
      <c r="A96" s="203"/>
      <c r="B96" s="17" t="s">
        <v>113</v>
      </c>
      <c r="C96" s="17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</row>
    <row r="97" spans="1:53" s="20" customFormat="1" ht="12.9" customHeight="1">
      <c r="A97" s="203"/>
      <c r="B97" s="17" t="s">
        <v>114</v>
      </c>
      <c r="C97" s="17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</row>
    <row r="98" spans="1:53" s="20" customFormat="1" ht="12.9" customHeight="1">
      <c r="A98" s="203"/>
      <c r="B98" s="17" t="s">
        <v>115</v>
      </c>
      <c r="C98" s="17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</row>
    <row r="99" spans="1:53" s="20" customFormat="1" ht="12.9" customHeight="1">
      <c r="A99" s="203"/>
      <c r="B99" s="17" t="s">
        <v>116</v>
      </c>
      <c r="C99" s="17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</row>
    <row r="100" spans="1:53" s="20" customFormat="1" ht="12.9" customHeight="1">
      <c r="A100" s="203"/>
      <c r="B100" s="17" t="s">
        <v>117</v>
      </c>
      <c r="C100" s="17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</row>
    <row r="101" spans="1:53" s="20" customFormat="1" ht="12.9" customHeight="1">
      <c r="A101" s="203"/>
      <c r="B101" s="17" t="s">
        <v>118</v>
      </c>
      <c r="C101" s="17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</row>
    <row r="102" spans="1:53" s="20" customFormat="1" ht="12.9" customHeight="1">
      <c r="A102" s="203"/>
      <c r="B102" s="17" t="s">
        <v>119</v>
      </c>
      <c r="C102" s="17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</row>
    <row r="103" spans="1:53" s="20" customFormat="1" ht="12.9" customHeight="1">
      <c r="A103" s="203"/>
      <c r="B103" s="17" t="s">
        <v>120</v>
      </c>
      <c r="C103" s="17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</row>
    <row r="104" spans="1:53" s="20" customFormat="1" ht="12.9" customHeight="1">
      <c r="A104" s="203"/>
      <c r="B104" s="17" t="s">
        <v>121</v>
      </c>
      <c r="C104" s="17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</row>
    <row r="105" spans="1:53" s="20" customFormat="1" ht="12.9" customHeight="1">
      <c r="A105" s="203"/>
      <c r="B105" s="17" t="s">
        <v>122</v>
      </c>
      <c r="C105" s="17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</row>
    <row r="106" spans="1:53" s="20" customFormat="1" ht="12.9" customHeight="1">
      <c r="A106" s="203"/>
      <c r="B106" s="17" t="s">
        <v>123</v>
      </c>
      <c r="C106" s="17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</row>
    <row r="107" spans="1:53" s="20" customFormat="1" ht="12.9" customHeight="1">
      <c r="A107" s="203"/>
      <c r="B107" s="17" t="s">
        <v>124</v>
      </c>
      <c r="C107" s="17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</row>
    <row r="108" spans="1:53" s="20" customFormat="1" ht="12.9" customHeight="1">
      <c r="A108" s="203"/>
      <c r="B108" s="17" t="s">
        <v>125</v>
      </c>
      <c r="C108" s="17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</row>
    <row r="109" spans="1:53" s="20" customFormat="1" ht="12.9" customHeight="1">
      <c r="A109" s="203"/>
      <c r="B109" s="17" t="s">
        <v>126</v>
      </c>
      <c r="C109" s="17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</row>
    <row r="110" spans="1:53" s="20" customFormat="1" ht="12.9" customHeight="1">
      <c r="A110" s="203"/>
      <c r="B110" s="17" t="s">
        <v>127</v>
      </c>
      <c r="C110" s="17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</row>
    <row r="111" spans="1:53" s="20" customFormat="1" ht="12.9" customHeight="1">
      <c r="A111" s="203"/>
      <c r="B111" s="17" t="s">
        <v>128</v>
      </c>
      <c r="C111" s="17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</row>
    <row r="112" spans="1:53" s="20" customFormat="1" ht="12.9" customHeight="1">
      <c r="A112" s="203"/>
      <c r="B112" s="17" t="s">
        <v>129</v>
      </c>
      <c r="C112" s="17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</row>
    <row r="113" spans="1:53" s="20" customFormat="1" ht="12.9" customHeight="1">
      <c r="A113" s="203"/>
      <c r="B113" s="17" t="s">
        <v>130</v>
      </c>
      <c r="C113" s="17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</row>
    <row r="114" spans="1:53" s="20" customFormat="1" ht="12.9" customHeight="1">
      <c r="A114" s="203"/>
      <c r="B114" s="17" t="s">
        <v>131</v>
      </c>
      <c r="C114" s="17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</row>
    <row r="115" spans="1:53" s="20" customFormat="1" ht="12.9" customHeight="1">
      <c r="A115" s="203"/>
      <c r="B115" s="17" t="s">
        <v>132</v>
      </c>
      <c r="C115" s="17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</row>
    <row r="116" spans="1:53" s="20" customFormat="1" ht="12.9" customHeight="1">
      <c r="A116" s="203"/>
      <c r="B116" s="17" t="s">
        <v>133</v>
      </c>
      <c r="C116" s="17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</row>
    <row r="117" spans="1:53" s="20" customFormat="1" ht="12.9" customHeight="1">
      <c r="A117" s="203"/>
      <c r="B117" s="17" t="s">
        <v>134</v>
      </c>
      <c r="C117" s="17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</row>
    <row r="118" spans="1:53" s="20" customFormat="1" ht="12.9" customHeight="1">
      <c r="A118" s="203"/>
      <c r="B118" s="17" t="s">
        <v>135</v>
      </c>
      <c r="C118" s="17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</row>
    <row r="119" spans="1:53" s="20" customFormat="1" ht="12.9" customHeight="1">
      <c r="A119" s="203"/>
      <c r="B119" s="17" t="s">
        <v>136</v>
      </c>
      <c r="C119" s="17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</row>
    <row r="120" spans="1:53" s="20" customFormat="1" ht="12.9" customHeight="1">
      <c r="A120" s="203"/>
      <c r="B120" s="17" t="s">
        <v>137</v>
      </c>
      <c r="C120" s="17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</row>
    <row r="121" spans="1:53" s="20" customFormat="1" ht="12.9" customHeight="1">
      <c r="A121" s="203"/>
      <c r="B121" s="17" t="s">
        <v>138</v>
      </c>
      <c r="C121" s="17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</row>
    <row r="122" spans="1:53" s="20" customFormat="1" ht="12.9" customHeight="1">
      <c r="A122" s="203"/>
      <c r="B122" s="17" t="s">
        <v>139</v>
      </c>
      <c r="C122" s="17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</row>
    <row r="123" spans="1:53" s="20" customFormat="1" ht="12.9" customHeight="1">
      <c r="A123" s="203"/>
      <c r="B123" s="17" t="s">
        <v>140</v>
      </c>
      <c r="C123" s="17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</row>
    <row r="124" spans="1:53" s="20" customFormat="1" ht="12.9" customHeight="1">
      <c r="A124" s="203"/>
      <c r="B124" s="17" t="s">
        <v>141</v>
      </c>
      <c r="C124" s="17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</row>
    <row r="125" spans="1:53" s="20" customFormat="1" ht="12.9" customHeight="1">
      <c r="A125" s="203"/>
      <c r="B125" s="17" t="s">
        <v>142</v>
      </c>
      <c r="C125" s="17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</row>
    <row r="126" spans="1:53" s="20" customFormat="1" ht="12.9" customHeight="1">
      <c r="A126" s="203"/>
      <c r="B126" s="17" t="s">
        <v>143</v>
      </c>
      <c r="C126" s="17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</row>
    <row r="127" spans="1:53" s="20" customFormat="1" ht="12.9" customHeight="1">
      <c r="A127" s="203"/>
      <c r="B127" s="17" t="s">
        <v>144</v>
      </c>
      <c r="C127" s="17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</row>
    <row r="128" spans="1:53" s="20" customFormat="1" ht="12.9" customHeight="1">
      <c r="A128" s="203"/>
      <c r="B128" s="17" t="s">
        <v>145</v>
      </c>
      <c r="C128" s="17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</row>
    <row r="129" spans="1:53" s="20" customFormat="1" ht="12.9" customHeight="1">
      <c r="A129" s="203"/>
      <c r="B129" s="17" t="s">
        <v>146</v>
      </c>
      <c r="C129" s="17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</row>
    <row r="130" spans="1:53" s="20" customFormat="1" ht="12.9" customHeight="1">
      <c r="A130" s="203"/>
      <c r="B130" s="17" t="s">
        <v>147</v>
      </c>
      <c r="C130" s="17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</row>
    <row r="131" spans="1:53" s="20" customFormat="1" ht="12.9" customHeight="1">
      <c r="A131" s="203"/>
      <c r="B131" s="17" t="s">
        <v>148</v>
      </c>
      <c r="C131" s="17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</row>
    <row r="132" spans="1:53" s="20" customFormat="1" ht="12.9" customHeight="1">
      <c r="A132" s="203"/>
      <c r="B132" s="17" t="s">
        <v>149</v>
      </c>
      <c r="C132" s="17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</row>
    <row r="133" spans="1:53" s="20" customFormat="1" ht="12.9" customHeight="1">
      <c r="A133" s="203"/>
      <c r="B133" s="17" t="s">
        <v>150</v>
      </c>
      <c r="C133" s="17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</row>
    <row r="134" spans="1:53" s="20" customFormat="1" ht="12.9" customHeight="1">
      <c r="A134" s="203"/>
      <c r="B134" s="17" t="s">
        <v>151</v>
      </c>
      <c r="C134" s="17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</row>
    <row r="135" spans="1:53" s="20" customFormat="1" ht="12.9" customHeight="1">
      <c r="A135" s="203"/>
      <c r="B135" s="17" t="s">
        <v>152</v>
      </c>
      <c r="C135" s="17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</row>
    <row r="136" spans="1:53" s="20" customFormat="1" ht="12.9" customHeight="1">
      <c r="A136" s="203"/>
      <c r="B136" s="17" t="s">
        <v>153</v>
      </c>
      <c r="C136" s="17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</row>
    <row r="137" spans="1:53" s="20" customFormat="1" ht="12.9" customHeight="1">
      <c r="A137" s="203"/>
      <c r="B137" s="17" t="s">
        <v>154</v>
      </c>
      <c r="C137" s="17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</row>
    <row r="138" spans="1:53" s="20" customFormat="1" ht="12.9" customHeight="1">
      <c r="A138" s="203"/>
      <c r="B138" s="17" t="s">
        <v>155</v>
      </c>
      <c r="C138" s="17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</row>
    <row r="139" spans="1:53" s="20" customFormat="1" ht="12.9" customHeight="1">
      <c r="A139" s="203"/>
      <c r="B139" s="17" t="s">
        <v>156</v>
      </c>
      <c r="C139" s="17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</row>
    <row r="140" spans="1:53" s="20" customFormat="1" ht="12.9" customHeight="1">
      <c r="A140" s="203"/>
      <c r="B140" s="17" t="s">
        <v>157</v>
      </c>
      <c r="C140" s="17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</row>
    <row r="141" spans="1:53" s="20" customFormat="1" ht="12.9" customHeight="1">
      <c r="A141" s="203"/>
      <c r="B141" s="17" t="s">
        <v>158</v>
      </c>
      <c r="C141" s="17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</row>
    <row r="142" spans="1:53" s="20" customFormat="1" ht="12.9" customHeight="1">
      <c r="A142" s="203"/>
      <c r="B142" s="17" t="s">
        <v>159</v>
      </c>
      <c r="C142" s="17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</row>
    <row r="143" spans="1:53" s="20" customFormat="1" ht="12.9" customHeight="1">
      <c r="A143" s="203"/>
      <c r="B143" s="17" t="s">
        <v>160</v>
      </c>
      <c r="C143" s="17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</row>
    <row r="144" spans="1:53" s="20" customFormat="1" ht="12.9" customHeight="1">
      <c r="A144" s="203"/>
      <c r="B144" s="17" t="s">
        <v>161</v>
      </c>
      <c r="C144" s="17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</row>
    <row r="145" spans="1:53" s="20" customFormat="1" ht="12.9" customHeight="1">
      <c r="A145" s="203"/>
      <c r="B145" s="17" t="s">
        <v>162</v>
      </c>
      <c r="C145" s="17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</row>
    <row r="146" spans="1:53" s="20" customFormat="1" ht="12.9" customHeight="1">
      <c r="A146" s="203"/>
      <c r="B146" s="17" t="s">
        <v>163</v>
      </c>
      <c r="C146" s="17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</row>
    <row r="147" spans="1:53" s="20" customFormat="1" ht="12.9" customHeight="1">
      <c r="A147" s="203"/>
      <c r="B147" s="17" t="s">
        <v>164</v>
      </c>
      <c r="C147" s="17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</row>
    <row r="148" spans="1:53" s="20" customFormat="1" ht="12.9" customHeight="1">
      <c r="A148" s="203"/>
      <c r="B148" s="17" t="s">
        <v>165</v>
      </c>
      <c r="C148" s="17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</row>
    <row r="149" spans="1:53" s="20" customFormat="1" ht="12.9" customHeight="1">
      <c r="A149" s="203"/>
      <c r="B149" s="17" t="s">
        <v>166</v>
      </c>
      <c r="C149" s="17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</row>
    <row r="150" spans="1:53" s="20" customFormat="1" ht="12.9" customHeight="1">
      <c r="A150" s="203"/>
      <c r="B150" s="17" t="s">
        <v>167</v>
      </c>
      <c r="C150" s="17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</row>
    <row r="151" spans="1:53" s="20" customFormat="1" ht="12.9" customHeight="1">
      <c r="A151" s="203"/>
      <c r="B151" s="17" t="s">
        <v>168</v>
      </c>
      <c r="C151" s="17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</row>
    <row r="152" spans="1:53" s="20" customFormat="1" ht="12.9" customHeight="1">
      <c r="A152" s="203"/>
      <c r="B152" s="17" t="s">
        <v>169</v>
      </c>
      <c r="C152" s="17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</row>
    <row r="153" spans="1:53" s="20" customFormat="1" ht="12.9" customHeight="1">
      <c r="A153" s="203"/>
      <c r="B153" s="17" t="s">
        <v>170</v>
      </c>
      <c r="C153" s="17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</row>
    <row r="154" spans="1:53" s="20" customFormat="1" ht="12.9" customHeight="1">
      <c r="A154" s="203"/>
      <c r="B154" s="17" t="s">
        <v>171</v>
      </c>
      <c r="C154" s="17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</row>
    <row r="155" spans="1:53" s="20" customFormat="1" ht="12.9" customHeight="1">
      <c r="A155" s="203"/>
      <c r="B155" s="17" t="s">
        <v>172</v>
      </c>
      <c r="C155" s="17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</row>
    <row r="156" spans="1:53" s="20" customFormat="1" ht="12.9" customHeight="1">
      <c r="A156" s="203"/>
      <c r="B156" s="17" t="s">
        <v>173</v>
      </c>
      <c r="C156" s="17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</row>
    <row r="157" spans="1:53" s="20" customFormat="1" ht="12.9" customHeight="1">
      <c r="A157" s="203"/>
      <c r="B157" s="17" t="s">
        <v>174</v>
      </c>
      <c r="C157" s="17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</row>
    <row r="158" spans="1:53" s="20" customFormat="1" ht="12.9" customHeight="1">
      <c r="A158" s="203"/>
      <c r="B158" s="17" t="s">
        <v>175</v>
      </c>
      <c r="C158" s="17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</row>
    <row r="159" spans="1:53" s="20" customFormat="1" ht="12.9" customHeight="1">
      <c r="A159" s="203"/>
      <c r="B159" s="17" t="s">
        <v>176</v>
      </c>
      <c r="C159" s="17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</row>
    <row r="160" spans="1:53" s="20" customFormat="1" ht="12.9" customHeight="1">
      <c r="A160" s="203"/>
      <c r="B160" s="17" t="s">
        <v>177</v>
      </c>
      <c r="C160" s="17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</row>
    <row r="161" spans="1:53" s="20" customFormat="1" ht="12.9" customHeight="1">
      <c r="A161" s="203"/>
      <c r="B161" s="17" t="s">
        <v>178</v>
      </c>
      <c r="C161" s="17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</row>
    <row r="162" spans="1:53" s="20" customFormat="1" ht="12.9" customHeight="1">
      <c r="A162" s="203"/>
      <c r="B162" s="17" t="s">
        <v>179</v>
      </c>
      <c r="C162" s="17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</row>
    <row r="163" spans="1:53" s="20" customFormat="1" ht="12.9" customHeight="1">
      <c r="A163" s="203"/>
      <c r="B163" s="17" t="s">
        <v>180</v>
      </c>
      <c r="C163" s="17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</row>
    <row r="164" spans="1:53" s="20" customFormat="1" ht="12.9" customHeight="1">
      <c r="A164" s="203"/>
      <c r="B164" s="17" t="s">
        <v>181</v>
      </c>
      <c r="C164" s="17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</row>
    <row r="165" spans="1:53" s="20" customFormat="1" ht="12.9" customHeight="1">
      <c r="A165" s="203"/>
      <c r="B165" s="17" t="s">
        <v>182</v>
      </c>
      <c r="C165" s="17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</row>
    <row r="166" spans="1:53" s="20" customFormat="1" ht="12.9" customHeight="1">
      <c r="A166" s="203"/>
      <c r="B166" s="17" t="s">
        <v>183</v>
      </c>
      <c r="C166" s="17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</row>
    <row r="167" spans="1:53" s="20" customFormat="1" ht="12.9" customHeight="1">
      <c r="A167" s="203"/>
      <c r="B167" s="17" t="s">
        <v>184</v>
      </c>
      <c r="C167" s="17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</row>
    <row r="168" spans="1:53" s="20" customFormat="1" ht="12.9" customHeight="1">
      <c r="A168" s="203"/>
      <c r="B168" s="17" t="s">
        <v>185</v>
      </c>
      <c r="C168" s="17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</row>
    <row r="169" spans="1:53" s="20" customFormat="1" ht="12.9" customHeight="1">
      <c r="A169" s="203"/>
      <c r="B169" s="17" t="s">
        <v>186</v>
      </c>
      <c r="C169" s="17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</row>
    <row r="170" spans="1:53" s="20" customFormat="1" ht="12.9" customHeight="1">
      <c r="A170" s="203"/>
      <c r="B170" s="17" t="s">
        <v>187</v>
      </c>
      <c r="C170" s="17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</row>
    <row r="171" spans="1:53" s="20" customFormat="1" ht="12.9" customHeight="1">
      <c r="A171" s="203"/>
      <c r="B171" s="17" t="s">
        <v>188</v>
      </c>
      <c r="C171" s="17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</row>
    <row r="172" spans="1:53" s="20" customFormat="1" ht="12.9" customHeight="1">
      <c r="A172" s="203"/>
      <c r="B172" s="17" t="s">
        <v>189</v>
      </c>
      <c r="C172" s="17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</row>
    <row r="173" spans="1:53" s="20" customFormat="1" ht="12.9" customHeight="1">
      <c r="A173" s="203"/>
      <c r="B173" s="17" t="s">
        <v>190</v>
      </c>
      <c r="C173" s="17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</row>
    <row r="174" spans="1:53" s="20" customFormat="1" ht="12.9" customHeight="1">
      <c r="A174" s="203"/>
      <c r="B174" s="17" t="s">
        <v>191</v>
      </c>
      <c r="C174" s="17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</row>
    <row r="175" spans="1:53" s="20" customFormat="1" ht="12.9" customHeight="1">
      <c r="A175" s="203"/>
      <c r="B175" s="17" t="s">
        <v>192</v>
      </c>
      <c r="C175" s="17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</row>
    <row r="176" spans="1:53" s="20" customFormat="1" ht="12.9" customHeight="1">
      <c r="A176" s="203"/>
      <c r="B176" s="17" t="s">
        <v>193</v>
      </c>
      <c r="C176" s="17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</row>
    <row r="177" spans="1:53" s="20" customFormat="1" ht="12.9" customHeight="1">
      <c r="A177" s="203"/>
      <c r="B177" s="17" t="s">
        <v>194</v>
      </c>
      <c r="C177" s="17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</row>
    <row r="178" spans="1:53" s="20" customFormat="1" ht="12.9" customHeight="1">
      <c r="A178" s="203"/>
      <c r="B178" s="17" t="s">
        <v>195</v>
      </c>
      <c r="C178" s="17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</row>
    <row r="179" spans="1:53" s="20" customFormat="1" ht="12.9" customHeight="1">
      <c r="A179" s="203"/>
      <c r="B179" s="17" t="s">
        <v>196</v>
      </c>
      <c r="C179" s="17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</row>
    <row r="180" spans="1:53" s="20" customFormat="1" ht="12.9" customHeight="1">
      <c r="A180" s="203"/>
      <c r="B180" s="17" t="s">
        <v>197</v>
      </c>
      <c r="C180" s="17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</row>
    <row r="181" spans="1:53" s="20" customFormat="1" ht="12.9" customHeight="1">
      <c r="A181" s="203"/>
      <c r="B181" s="17" t="s">
        <v>198</v>
      </c>
      <c r="C181" s="17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</row>
    <row r="182" spans="1:53" s="20" customFormat="1" ht="12.9" customHeight="1">
      <c r="A182" s="203"/>
      <c r="B182" s="17" t="s">
        <v>199</v>
      </c>
      <c r="C182" s="17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</row>
    <row r="183" spans="1:53" s="20" customFormat="1" ht="12.9" customHeight="1">
      <c r="A183" s="203"/>
      <c r="B183" s="17" t="s">
        <v>200</v>
      </c>
      <c r="C183" s="17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</row>
    <row r="184" spans="1:53" s="20" customFormat="1" ht="12.9" customHeight="1">
      <c r="A184" s="203"/>
      <c r="B184" s="17" t="s">
        <v>201</v>
      </c>
      <c r="C184" s="17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19"/>
      <c r="AY184" s="19"/>
      <c r="AZ184" s="19"/>
      <c r="BA184" s="19"/>
    </row>
    <row r="185" spans="1:53" s="20" customFormat="1" ht="12.9" customHeight="1">
      <c r="A185" s="203"/>
      <c r="B185" s="17" t="s">
        <v>202</v>
      </c>
      <c r="C185" s="17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</row>
    <row r="186" spans="1:53" s="20" customFormat="1" ht="12.9" customHeight="1">
      <c r="A186" s="203"/>
      <c r="B186" s="17" t="s">
        <v>203</v>
      </c>
      <c r="C186" s="17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</row>
    <row r="187" spans="1:53" s="20" customFormat="1" ht="12.9" customHeight="1">
      <c r="A187" s="203"/>
      <c r="B187" s="17" t="s">
        <v>204</v>
      </c>
      <c r="C187" s="17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</row>
    <row r="188" spans="1:53" s="20" customFormat="1" ht="12.9" customHeight="1">
      <c r="A188" s="203"/>
      <c r="B188" s="17" t="s">
        <v>205</v>
      </c>
      <c r="C188" s="17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</row>
    <row r="189" spans="1:53" s="20" customFormat="1" ht="12.9" customHeight="1">
      <c r="A189" s="203"/>
      <c r="B189" s="17" t="s">
        <v>206</v>
      </c>
      <c r="C189" s="17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</row>
    <row r="190" spans="1:53" s="20" customFormat="1" ht="12.9" customHeight="1">
      <c r="A190" s="203"/>
      <c r="B190" s="17" t="s">
        <v>207</v>
      </c>
      <c r="C190" s="17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</row>
    <row r="191" spans="1:53" s="20" customFormat="1" ht="12.9" customHeight="1">
      <c r="A191" s="203"/>
      <c r="B191" s="17" t="s">
        <v>208</v>
      </c>
      <c r="C191" s="17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</row>
    <row r="192" spans="1:53" s="20" customFormat="1" ht="12.9" customHeight="1">
      <c r="A192" s="203"/>
      <c r="B192" s="17" t="s">
        <v>209</v>
      </c>
      <c r="C192" s="17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</row>
    <row r="193" spans="1:53" s="20" customFormat="1" ht="12.9" customHeight="1">
      <c r="A193" s="203"/>
      <c r="B193" s="17" t="s">
        <v>210</v>
      </c>
      <c r="C193" s="17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</row>
    <row r="194" spans="1:53" s="20" customFormat="1" ht="12.9" customHeight="1">
      <c r="A194" s="203"/>
      <c r="B194" s="17" t="s">
        <v>211</v>
      </c>
      <c r="C194" s="17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</row>
    <row r="195" spans="1:53" s="20" customFormat="1" ht="12.9" customHeight="1">
      <c r="A195" s="203"/>
      <c r="B195" s="17" t="s">
        <v>212</v>
      </c>
      <c r="C195" s="17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</row>
    <row r="196" spans="1:53" s="20" customFormat="1" ht="12.9" customHeight="1">
      <c r="A196" s="203"/>
      <c r="B196" s="17" t="s">
        <v>213</v>
      </c>
      <c r="C196" s="17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</row>
    <row r="197" spans="1:53" s="20" customFormat="1" ht="12.9" customHeight="1">
      <c r="A197" s="203"/>
      <c r="B197" s="17" t="s">
        <v>214</v>
      </c>
      <c r="C197" s="17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</row>
    <row r="198" spans="1:53" s="20" customFormat="1" ht="12.9" customHeight="1">
      <c r="A198" s="203"/>
      <c r="B198" s="17" t="s">
        <v>215</v>
      </c>
      <c r="C198" s="17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</row>
    <row r="199" spans="1:53" s="20" customFormat="1" ht="12.9" customHeight="1">
      <c r="A199" s="203"/>
      <c r="B199" s="17" t="s">
        <v>216</v>
      </c>
      <c r="C199" s="17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</row>
    <row r="200" spans="1:53" s="20" customFormat="1" ht="12.9" customHeight="1">
      <c r="A200" s="203"/>
      <c r="B200" s="17" t="s">
        <v>217</v>
      </c>
      <c r="C200" s="17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</row>
    <row r="201" spans="1:53" s="20" customFormat="1" ht="12.9" customHeight="1">
      <c r="A201" s="203"/>
      <c r="B201" s="17" t="s">
        <v>218</v>
      </c>
      <c r="C201" s="17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</row>
    <row r="202" spans="1:53" s="20" customFormat="1" ht="12.9" customHeight="1">
      <c r="A202" s="203"/>
      <c r="B202" s="17" t="s">
        <v>219</v>
      </c>
      <c r="C202" s="17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</row>
    <row r="203" spans="1:53" s="20" customFormat="1" ht="12.9" customHeight="1">
      <c r="A203" s="203"/>
      <c r="B203" s="17" t="s">
        <v>220</v>
      </c>
      <c r="C203" s="17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</row>
    <row r="204" spans="1:53" s="20" customFormat="1" ht="12.9" customHeight="1">
      <c r="A204" s="203"/>
      <c r="B204" s="17" t="s">
        <v>221</v>
      </c>
      <c r="C204" s="17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</row>
    <row r="205" spans="1:53" s="20" customFormat="1" ht="12.9" customHeight="1">
      <c r="A205" s="203"/>
      <c r="B205" s="17" t="s">
        <v>222</v>
      </c>
      <c r="C205" s="17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</row>
    <row r="206" spans="1:53" s="20" customFormat="1" ht="12.9" customHeight="1">
      <c r="A206" s="203"/>
      <c r="B206" s="17" t="s">
        <v>223</v>
      </c>
      <c r="C206" s="17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</row>
    <row r="207" spans="1:53" s="20" customFormat="1" ht="12.9" customHeight="1">
      <c r="A207" s="203"/>
      <c r="B207" s="17" t="s">
        <v>224</v>
      </c>
      <c r="C207" s="17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</row>
    <row r="208" spans="1:53" s="20" customFormat="1" ht="12.9" customHeight="1">
      <c r="A208" s="203"/>
      <c r="B208" s="17" t="s">
        <v>225</v>
      </c>
      <c r="C208" s="17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</row>
    <row r="209" spans="1:53" s="20" customFormat="1" ht="12.9" customHeight="1">
      <c r="A209" s="203"/>
      <c r="B209" s="17" t="s">
        <v>226</v>
      </c>
      <c r="C209" s="17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</row>
    <row r="210" spans="1:53" s="20" customFormat="1" ht="12.9" customHeight="1">
      <c r="A210" s="203"/>
      <c r="B210" s="17" t="s">
        <v>227</v>
      </c>
      <c r="C210" s="17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</row>
    <row r="211" spans="1:53" s="20" customFormat="1" ht="12.9" customHeight="1">
      <c r="A211" s="203"/>
      <c r="B211" s="17" t="s">
        <v>228</v>
      </c>
      <c r="C211" s="17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</row>
    <row r="212" spans="1:53" s="20" customFormat="1" ht="12.9" customHeight="1">
      <c r="A212" s="203"/>
      <c r="B212" s="17" t="s">
        <v>229</v>
      </c>
      <c r="C212" s="17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</row>
    <row r="213" spans="1:53" s="20" customFormat="1" ht="12.9" customHeight="1">
      <c r="A213" s="203"/>
      <c r="B213" s="17" t="s">
        <v>230</v>
      </c>
      <c r="C213" s="17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</row>
    <row r="214" spans="1:53" s="20" customFormat="1" ht="12.9" customHeight="1">
      <c r="A214" s="203"/>
      <c r="B214" s="17" t="s">
        <v>231</v>
      </c>
      <c r="C214" s="17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</row>
    <row r="215" spans="1:53" s="20" customFormat="1" ht="12.9" customHeight="1">
      <c r="A215" s="203"/>
      <c r="B215" s="17" t="s">
        <v>232</v>
      </c>
      <c r="C215" s="17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</row>
    <row r="216" spans="1:53" s="20" customFormat="1" ht="12.9" customHeight="1">
      <c r="A216" s="203"/>
      <c r="B216" s="17" t="s">
        <v>233</v>
      </c>
      <c r="C216" s="17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</row>
    <row r="217" spans="1:53" s="20" customFormat="1" ht="12.9" customHeight="1">
      <c r="A217" s="203"/>
      <c r="B217" s="17" t="s">
        <v>234</v>
      </c>
      <c r="C217" s="17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</row>
    <row r="218" spans="1:53" s="20" customFormat="1" ht="12.9" customHeight="1">
      <c r="A218" s="203"/>
      <c r="B218" s="17" t="s">
        <v>235</v>
      </c>
      <c r="C218" s="17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</row>
    <row r="219" spans="1:53" s="20" customFormat="1" ht="12.9" customHeight="1">
      <c r="A219" s="203"/>
      <c r="B219" s="17" t="s">
        <v>236</v>
      </c>
      <c r="C219" s="17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</row>
    <row r="220" spans="1:53" s="20" customFormat="1" ht="12.9" customHeight="1">
      <c r="A220" s="203"/>
      <c r="B220" s="17" t="s">
        <v>237</v>
      </c>
      <c r="C220" s="17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</row>
    <row r="221" spans="1:53" s="20" customFormat="1" ht="12.9" customHeight="1">
      <c r="A221" s="203"/>
      <c r="B221" s="17" t="s">
        <v>238</v>
      </c>
      <c r="C221" s="17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</row>
    <row r="222" spans="1:53" s="20" customFormat="1" ht="12.9" customHeight="1">
      <c r="A222" s="203"/>
      <c r="B222" s="17" t="s">
        <v>239</v>
      </c>
      <c r="C222" s="17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</row>
    <row r="223" spans="1:53" s="20" customFormat="1" ht="12.9" customHeight="1">
      <c r="A223" s="203"/>
      <c r="B223" s="17" t="s">
        <v>240</v>
      </c>
      <c r="C223" s="17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</row>
    <row r="224" spans="1:53" s="20" customFormat="1" ht="12.9" customHeight="1">
      <c r="A224" s="203"/>
      <c r="B224" s="17" t="s">
        <v>241</v>
      </c>
      <c r="C224" s="17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</row>
    <row r="225" spans="1:53" s="20" customFormat="1" ht="12.9" customHeight="1">
      <c r="A225" s="203"/>
      <c r="B225" s="17" t="s">
        <v>242</v>
      </c>
      <c r="C225" s="17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</row>
    <row r="226" spans="1:53" s="20" customFormat="1" ht="12.9" customHeight="1">
      <c r="A226" s="203"/>
      <c r="B226" s="17" t="s">
        <v>243</v>
      </c>
      <c r="C226" s="17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/>
      <c r="AY226" s="19"/>
      <c r="AZ226" s="19"/>
      <c r="BA226" s="19"/>
    </row>
    <row r="227" spans="1:53" s="20" customFormat="1" ht="12.9" customHeight="1">
      <c r="A227" s="203"/>
      <c r="B227" s="17" t="s">
        <v>244</v>
      </c>
      <c r="C227" s="17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/>
      <c r="AY227" s="19"/>
      <c r="AZ227" s="19"/>
      <c r="BA227" s="19"/>
    </row>
    <row r="228" spans="1:53" s="20" customFormat="1" ht="12.9" customHeight="1">
      <c r="A228" s="203"/>
      <c r="B228" s="17" t="s">
        <v>245</v>
      </c>
      <c r="C228" s="17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/>
      <c r="AY228" s="19"/>
      <c r="AZ228" s="19"/>
      <c r="BA228" s="19"/>
    </row>
    <row r="229" spans="1:53" s="20" customFormat="1" ht="12.9" customHeight="1">
      <c r="A229" s="203"/>
      <c r="B229" s="17" t="s">
        <v>246</v>
      </c>
      <c r="C229" s="17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/>
      <c r="AY229" s="19"/>
      <c r="AZ229" s="19"/>
      <c r="BA229" s="19"/>
    </row>
    <row r="230" spans="1:53" s="20" customFormat="1" ht="12.9" customHeight="1">
      <c r="A230" s="203"/>
      <c r="B230" s="17" t="s">
        <v>247</v>
      </c>
      <c r="C230" s="17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</row>
    <row r="231" spans="1:53" s="20" customFormat="1" ht="12.9" customHeight="1">
      <c r="A231" s="203"/>
      <c r="B231" s="17" t="s">
        <v>248</v>
      </c>
      <c r="C231" s="17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/>
      <c r="AY231" s="19"/>
      <c r="AZ231" s="19"/>
      <c r="BA231" s="19"/>
    </row>
    <row r="232" spans="1:53" s="20" customFormat="1" ht="12.9" customHeight="1">
      <c r="A232" s="203"/>
      <c r="B232" s="17" t="s">
        <v>249</v>
      </c>
      <c r="C232" s="17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</row>
    <row r="233" spans="1:53" s="20" customFormat="1" ht="12.9" customHeight="1">
      <c r="A233" s="203"/>
      <c r="B233" s="17" t="s">
        <v>250</v>
      </c>
      <c r="C233" s="17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/>
      <c r="AY233" s="19"/>
      <c r="AZ233" s="19"/>
      <c r="BA233" s="19"/>
    </row>
    <row r="234" spans="1:53" s="20" customFormat="1" ht="12.9" customHeight="1">
      <c r="A234" s="203"/>
      <c r="B234" s="17" t="s">
        <v>251</v>
      </c>
      <c r="C234" s="17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</row>
    <row r="235" spans="1:53" s="20" customFormat="1" ht="12.9" customHeight="1">
      <c r="A235" s="203"/>
      <c r="B235" s="17" t="s">
        <v>252</v>
      </c>
      <c r="C235" s="17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</row>
    <row r="236" spans="1:53" s="20" customFormat="1" ht="12.9" customHeight="1">
      <c r="A236" s="203"/>
      <c r="B236" s="17" t="s">
        <v>253</v>
      </c>
      <c r="C236" s="17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</row>
    <row r="237" spans="1:53" s="20" customFormat="1" ht="12.9" customHeight="1">
      <c r="A237" s="203"/>
      <c r="B237" s="17" t="s">
        <v>254</v>
      </c>
      <c r="C237" s="17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</row>
    <row r="238" spans="1:53" s="20" customFormat="1" ht="12.9" customHeight="1">
      <c r="A238" s="203"/>
      <c r="B238" s="17" t="s">
        <v>255</v>
      </c>
      <c r="C238" s="17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/>
      <c r="AY238" s="19"/>
      <c r="AZ238" s="19"/>
      <c r="BA238" s="19"/>
    </row>
    <row r="239" spans="1:53" s="20" customFormat="1" ht="12.9" customHeight="1">
      <c r="A239" s="203"/>
      <c r="B239" s="17" t="s">
        <v>256</v>
      </c>
      <c r="C239" s="17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/>
      <c r="AY239" s="19"/>
      <c r="AZ239" s="19"/>
      <c r="BA239" s="19"/>
    </row>
    <row r="240" spans="1:53" s="20" customFormat="1" ht="12.9" customHeight="1">
      <c r="A240" s="203"/>
      <c r="B240" s="17" t="s">
        <v>257</v>
      </c>
      <c r="C240" s="17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</row>
    <row r="241" spans="1:53" s="20" customFormat="1" ht="12.9" customHeight="1">
      <c r="A241" s="203"/>
      <c r="B241" s="17" t="s">
        <v>258</v>
      </c>
      <c r="C241" s="17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/>
      <c r="AY241" s="19"/>
      <c r="AZ241" s="19"/>
      <c r="BA241" s="19"/>
    </row>
    <row r="242" spans="1:53" s="20" customFormat="1" ht="12.9" customHeight="1">
      <c r="A242" s="203"/>
      <c r="B242" s="17" t="s">
        <v>259</v>
      </c>
      <c r="C242" s="17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</row>
    <row r="243" spans="1:53" s="20" customFormat="1" ht="12.9" customHeight="1">
      <c r="A243" s="203"/>
      <c r="B243" s="17" t="s">
        <v>260</v>
      </c>
      <c r="C243" s="17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</row>
    <row r="244" spans="1:53" s="20" customFormat="1" ht="12.9" customHeight="1">
      <c r="A244" s="203"/>
      <c r="B244" s="17" t="s">
        <v>261</v>
      </c>
      <c r="C244" s="17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</row>
    <row r="245" spans="1:53" s="20" customFormat="1" ht="12.9" customHeight="1">
      <c r="A245" s="203"/>
      <c r="B245" s="17" t="s">
        <v>262</v>
      </c>
      <c r="C245" s="17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</row>
    <row r="246" spans="1:53" s="20" customFormat="1" ht="12.9" customHeight="1">
      <c r="A246" s="203"/>
      <c r="B246" s="17" t="s">
        <v>263</v>
      </c>
      <c r="C246" s="17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</row>
    <row r="247" spans="1:53" s="20" customFormat="1" ht="12.9" customHeight="1">
      <c r="A247" s="203"/>
      <c r="B247" s="17" t="s">
        <v>264</v>
      </c>
      <c r="C247" s="17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/>
      <c r="AY247" s="19"/>
      <c r="AZ247" s="19"/>
      <c r="BA247" s="19"/>
    </row>
    <row r="248" spans="1:53" s="20" customFormat="1" ht="12.9" customHeight="1">
      <c r="A248" s="203"/>
      <c r="B248" s="17" t="s">
        <v>265</v>
      </c>
      <c r="C248" s="17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/>
      <c r="AY248" s="19"/>
      <c r="AZ248" s="19"/>
      <c r="BA248" s="19"/>
    </row>
    <row r="249" spans="1:53" s="20" customFormat="1" ht="12.9" customHeight="1">
      <c r="A249" s="203"/>
      <c r="B249" s="17" t="s">
        <v>266</v>
      </c>
      <c r="C249" s="17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/>
      <c r="AY249" s="19"/>
      <c r="AZ249" s="19"/>
      <c r="BA249" s="19"/>
    </row>
    <row r="250" spans="1:53" s="20" customFormat="1" ht="12.9" customHeight="1">
      <c r="A250" s="203"/>
      <c r="B250" s="17" t="s">
        <v>267</v>
      </c>
      <c r="C250" s="17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/>
      <c r="AY250" s="19"/>
      <c r="AZ250" s="19"/>
      <c r="BA250" s="19"/>
    </row>
    <row r="251" spans="1:53" s="20" customFormat="1" ht="12.9" customHeight="1">
      <c r="A251" s="203"/>
      <c r="B251" s="17" t="s">
        <v>268</v>
      </c>
      <c r="C251" s="17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/>
      <c r="AY251" s="19"/>
      <c r="AZ251" s="19"/>
      <c r="BA251" s="19"/>
    </row>
    <row r="252" spans="1:53" s="20" customFormat="1" ht="12.9" customHeight="1">
      <c r="A252" s="203"/>
      <c r="B252" s="17" t="s">
        <v>269</v>
      </c>
      <c r="C252" s="17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/>
      <c r="AY252" s="19"/>
      <c r="AZ252" s="19"/>
      <c r="BA252" s="19"/>
    </row>
    <row r="253" spans="1:53" s="20" customFormat="1" ht="12.9" customHeight="1">
      <c r="A253" s="203"/>
      <c r="B253" s="17" t="s">
        <v>270</v>
      </c>
      <c r="C253" s="17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/>
      <c r="AY253" s="19"/>
      <c r="AZ253" s="19"/>
      <c r="BA253" s="19"/>
    </row>
    <row r="254" spans="1:53" s="20" customFormat="1" ht="12.9" customHeight="1">
      <c r="A254" s="203"/>
      <c r="B254" s="17" t="s">
        <v>271</v>
      </c>
      <c r="C254" s="17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/>
      <c r="AY254" s="19"/>
      <c r="AZ254" s="19"/>
      <c r="BA254" s="19"/>
    </row>
    <row r="255" spans="1:53" s="20" customFormat="1" ht="12.9" customHeight="1">
      <c r="A255" s="203"/>
      <c r="B255" s="17" t="s">
        <v>272</v>
      </c>
      <c r="C255" s="17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/>
      <c r="AY255" s="19"/>
      <c r="AZ255" s="19"/>
      <c r="BA255" s="19"/>
    </row>
    <row r="256" spans="1:53" s="20" customFormat="1" ht="12.9" customHeight="1">
      <c r="A256" s="203"/>
      <c r="B256" s="17" t="s">
        <v>273</v>
      </c>
      <c r="C256" s="17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/>
      <c r="AY256" s="19"/>
      <c r="AZ256" s="19"/>
      <c r="BA256" s="19"/>
    </row>
    <row r="257" spans="1:53" s="20" customFormat="1" ht="12.9" customHeight="1">
      <c r="A257" s="203"/>
      <c r="B257" s="17" t="s">
        <v>274</v>
      </c>
      <c r="C257" s="17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/>
      <c r="AY257" s="19"/>
      <c r="AZ257" s="19"/>
      <c r="BA257" s="19"/>
    </row>
    <row r="258" spans="1:53" s="20" customFormat="1" ht="12.9" customHeight="1">
      <c r="A258" s="203"/>
      <c r="B258" s="17" t="s">
        <v>275</v>
      </c>
      <c r="C258" s="17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/>
      <c r="AY258" s="19"/>
      <c r="AZ258" s="19"/>
      <c r="BA258" s="19"/>
    </row>
    <row r="259" spans="1:53" s="20" customFormat="1" ht="12.9" customHeight="1">
      <c r="A259" s="203"/>
      <c r="B259" s="17" t="s">
        <v>276</v>
      </c>
      <c r="C259" s="17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/>
      <c r="AY259" s="19"/>
      <c r="AZ259" s="19"/>
      <c r="BA259" s="19"/>
    </row>
    <row r="260" spans="1:53" s="20" customFormat="1" ht="12.9" customHeight="1">
      <c r="A260" s="203"/>
      <c r="B260" s="17" t="s">
        <v>277</v>
      </c>
      <c r="C260" s="17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/>
      <c r="AY260" s="19"/>
      <c r="AZ260" s="19"/>
      <c r="BA260" s="19"/>
    </row>
    <row r="261" spans="1:53" s="20" customFormat="1" ht="12.9" customHeight="1">
      <c r="A261" s="203"/>
      <c r="B261" s="17" t="s">
        <v>278</v>
      </c>
      <c r="C261" s="17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/>
      <c r="AY261" s="19"/>
      <c r="AZ261" s="19"/>
      <c r="BA261" s="19"/>
    </row>
    <row r="262" spans="1:53" s="20" customFormat="1" ht="12.9" customHeight="1">
      <c r="A262" s="203"/>
      <c r="B262" s="17" t="s">
        <v>279</v>
      </c>
      <c r="C262" s="17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</row>
    <row r="263" spans="1:53" s="20" customFormat="1" ht="12.9" customHeight="1">
      <c r="A263" s="203"/>
      <c r="B263" s="17" t="s">
        <v>280</v>
      </c>
      <c r="C263" s="17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/>
      <c r="AY263" s="19"/>
      <c r="AZ263" s="19"/>
      <c r="BA263" s="19"/>
    </row>
    <row r="264" spans="1:53" s="20" customFormat="1" ht="12.9" customHeight="1">
      <c r="A264" s="203"/>
      <c r="B264" s="17" t="s">
        <v>281</v>
      </c>
      <c r="C264" s="17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/>
      <c r="AY264" s="19"/>
      <c r="AZ264" s="19"/>
      <c r="BA264" s="19"/>
    </row>
    <row r="265" spans="1:53" s="20" customFormat="1" ht="12.9" customHeight="1">
      <c r="A265" s="203"/>
      <c r="B265" s="17" t="s">
        <v>282</v>
      </c>
      <c r="C265" s="17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/>
      <c r="AY265" s="19"/>
      <c r="AZ265" s="19"/>
      <c r="BA265" s="19"/>
    </row>
    <row r="266" spans="1:53" s="20" customFormat="1" ht="12.9" customHeight="1">
      <c r="A266" s="203"/>
      <c r="B266" s="17" t="s">
        <v>283</v>
      </c>
      <c r="C266" s="17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/>
      <c r="AY266" s="19"/>
      <c r="AZ266" s="19"/>
      <c r="BA266" s="19"/>
    </row>
    <row r="267" spans="1:53" s="20" customFormat="1" ht="12.9" customHeight="1">
      <c r="A267" s="203"/>
      <c r="B267" s="17" t="s">
        <v>284</v>
      </c>
      <c r="C267" s="17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/>
      <c r="AY267" s="19"/>
      <c r="AZ267" s="19"/>
      <c r="BA267" s="19"/>
    </row>
    <row r="268" spans="1:53" s="20" customFormat="1" ht="12.9" customHeight="1">
      <c r="A268" s="203"/>
      <c r="B268" s="17" t="s">
        <v>285</v>
      </c>
      <c r="C268" s="17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/>
      <c r="AY268" s="19"/>
      <c r="AZ268" s="19"/>
      <c r="BA268" s="19"/>
    </row>
    <row r="269" spans="1:53" s="20" customFormat="1" ht="12.9" customHeight="1">
      <c r="A269" s="203"/>
      <c r="B269" s="17" t="s">
        <v>286</v>
      </c>
      <c r="C269" s="17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/>
      <c r="AY269" s="19"/>
      <c r="AZ269" s="19"/>
      <c r="BA269" s="19"/>
    </row>
    <row r="270" spans="1:53" s="20" customFormat="1" ht="12.9" customHeight="1">
      <c r="A270" s="203"/>
      <c r="B270" s="17" t="s">
        <v>287</v>
      </c>
      <c r="C270" s="17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19"/>
      <c r="BA270" s="19"/>
    </row>
    <row r="271" spans="1:53" s="20" customFormat="1" ht="12.9" customHeight="1">
      <c r="A271" s="203"/>
      <c r="B271" s="17" t="s">
        <v>288</v>
      </c>
      <c r="C271" s="17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/>
      <c r="AY271" s="19"/>
      <c r="AZ271" s="19"/>
      <c r="BA271" s="19"/>
    </row>
    <row r="272" spans="1:53" s="20" customFormat="1" ht="12.9" customHeight="1">
      <c r="A272" s="203"/>
      <c r="B272" s="17" t="s">
        <v>289</v>
      </c>
      <c r="C272" s="17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</row>
    <row r="273" spans="1:53" s="20" customFormat="1" ht="12.9" customHeight="1">
      <c r="A273" s="203"/>
      <c r="B273" s="17" t="s">
        <v>290</v>
      </c>
      <c r="C273" s="17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</row>
    <row r="274" spans="1:53" s="20" customFormat="1" ht="12.9" customHeight="1">
      <c r="A274" s="203"/>
      <c r="B274" s="17" t="s">
        <v>291</v>
      </c>
      <c r="C274" s="17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</row>
    <row r="275" spans="1:53" s="20" customFormat="1" ht="12.9" customHeight="1">
      <c r="A275" s="203"/>
      <c r="B275" s="17" t="s">
        <v>292</v>
      </c>
      <c r="C275" s="17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</row>
    <row r="276" spans="1:53" ht="12.9" customHeight="1">
      <c r="B276" s="15"/>
      <c r="C276" s="15"/>
      <c r="D276" s="15"/>
      <c r="AY276" s="14"/>
      <c r="AZ276" s="14"/>
      <c r="BA276" s="14"/>
    </row>
    <row r="277" spans="1:53" ht="12.9" customHeight="1">
      <c r="B277" s="15"/>
      <c r="C277" s="15"/>
      <c r="D277" s="15"/>
      <c r="AY277" s="14"/>
      <c r="AZ277" s="14"/>
      <c r="BA277" s="14"/>
    </row>
    <row r="278" spans="1:53" ht="12.9" customHeight="1">
      <c r="B278" s="15"/>
      <c r="C278" s="15"/>
      <c r="D278" s="15"/>
      <c r="AY278" s="14"/>
      <c r="AZ278" s="14"/>
      <c r="BA278" s="14"/>
    </row>
    <row r="279" spans="1:53" ht="12.9" customHeight="1">
      <c r="B279" s="15"/>
      <c r="C279" s="15"/>
      <c r="D279" s="15"/>
      <c r="AY279" s="14"/>
      <c r="AZ279" s="14"/>
      <c r="BA279" s="14"/>
    </row>
    <row r="280" spans="1:53" ht="12.9" customHeight="1">
      <c r="B280" s="15"/>
      <c r="C280" s="15"/>
      <c r="D280" s="15"/>
      <c r="AY280" s="14"/>
      <c r="AZ280" s="14"/>
      <c r="BA280" s="14"/>
    </row>
    <row r="281" spans="1:53" ht="12.9" customHeight="1">
      <c r="B281" s="15"/>
      <c r="C281" s="15"/>
      <c r="D281" s="15"/>
      <c r="AY281" s="14"/>
      <c r="AZ281" s="14"/>
      <c r="BA281" s="14"/>
    </row>
    <row r="282" spans="1:53" ht="12.9" customHeight="1">
      <c r="B282" s="15"/>
      <c r="C282" s="15"/>
      <c r="D282" s="15"/>
      <c r="AY282" s="14"/>
      <c r="AZ282" s="14"/>
      <c r="BA282" s="14"/>
    </row>
    <row r="283" spans="1:53" ht="12.9" customHeight="1">
      <c r="B283" s="15"/>
      <c r="C283" s="15"/>
      <c r="D283" s="15"/>
      <c r="AY283" s="14"/>
      <c r="AZ283" s="14"/>
      <c r="BA283" s="14"/>
    </row>
    <row r="284" spans="1:53" ht="12.9" customHeight="1">
      <c r="B284" s="15"/>
      <c r="C284" s="15"/>
      <c r="D284" s="15"/>
      <c r="AY284" s="14"/>
      <c r="AZ284" s="14"/>
      <c r="BA284" s="14"/>
    </row>
    <row r="285" spans="1:53" ht="12.9" customHeight="1">
      <c r="B285" s="15"/>
      <c r="C285" s="15"/>
      <c r="D285" s="15"/>
      <c r="AY285" s="14"/>
      <c r="AZ285" s="14"/>
      <c r="BA285" s="14"/>
    </row>
    <row r="286" spans="1:53" ht="12.9" customHeight="1">
      <c r="B286" s="15"/>
      <c r="C286" s="15"/>
      <c r="D286" s="15"/>
      <c r="AY286" s="14"/>
      <c r="AZ286" s="14"/>
      <c r="BA286" s="14"/>
    </row>
    <row r="287" spans="1:53" ht="12.9" customHeight="1">
      <c r="B287" s="15"/>
      <c r="C287" s="15"/>
      <c r="D287" s="15"/>
      <c r="AY287" s="14"/>
      <c r="AZ287" s="14"/>
      <c r="BA287" s="14"/>
    </row>
    <row r="288" spans="1:53" ht="12.9" customHeight="1">
      <c r="B288" s="15"/>
      <c r="C288" s="15"/>
      <c r="D288" s="15"/>
      <c r="AY288" s="14"/>
      <c r="AZ288" s="14"/>
      <c r="BA288" s="14"/>
    </row>
    <row r="289" spans="2:53" ht="12.9" customHeight="1">
      <c r="B289" s="15"/>
      <c r="C289" s="15"/>
      <c r="D289" s="15"/>
      <c r="AY289" s="14"/>
      <c r="AZ289" s="14"/>
      <c r="BA289" s="14"/>
    </row>
    <row r="290" spans="2:53" ht="12.9" customHeight="1">
      <c r="B290" s="15"/>
      <c r="C290" s="15"/>
      <c r="D290" s="15"/>
      <c r="AY290" s="14"/>
      <c r="AZ290" s="14"/>
      <c r="BA290" s="14"/>
    </row>
    <row r="291" spans="2:53" ht="12.9" customHeight="1">
      <c r="B291" s="15"/>
      <c r="C291" s="15"/>
      <c r="D291" s="15"/>
      <c r="AY291" s="14"/>
      <c r="AZ291" s="14"/>
      <c r="BA291" s="14"/>
    </row>
    <row r="292" spans="2:53" ht="12.9" customHeight="1">
      <c r="B292" s="15"/>
      <c r="C292" s="15"/>
      <c r="D292" s="15"/>
      <c r="AY292" s="14"/>
      <c r="AZ292" s="14"/>
      <c r="BA292" s="14"/>
    </row>
    <row r="293" spans="2:53" ht="12.9" customHeight="1">
      <c r="B293" s="15"/>
      <c r="C293" s="15"/>
      <c r="D293" s="15"/>
      <c r="AY293" s="14"/>
      <c r="AZ293" s="14"/>
      <c r="BA293" s="14"/>
    </row>
    <row r="294" spans="2:53" ht="12.9" customHeight="1">
      <c r="B294" s="15"/>
      <c r="C294" s="15"/>
      <c r="D294" s="15"/>
      <c r="AY294" s="14"/>
      <c r="AZ294" s="14"/>
      <c r="BA294" s="14"/>
    </row>
    <row r="295" spans="2:53" ht="12.9" customHeight="1">
      <c r="B295" s="15"/>
      <c r="C295" s="15"/>
      <c r="D295" s="15"/>
      <c r="AY295" s="14"/>
      <c r="AZ295" s="14"/>
      <c r="BA295" s="14"/>
    </row>
    <row r="296" spans="2:53" ht="12.9" customHeight="1">
      <c r="B296" s="15"/>
      <c r="C296" s="15"/>
      <c r="D296" s="15"/>
      <c r="AY296" s="14"/>
      <c r="AZ296" s="14"/>
      <c r="BA296" s="14"/>
    </row>
    <row r="297" spans="2:53" ht="12.9" customHeight="1">
      <c r="B297" s="15"/>
      <c r="C297" s="15"/>
      <c r="D297" s="15"/>
      <c r="AY297" s="14"/>
      <c r="AZ297" s="14"/>
      <c r="BA297" s="14"/>
    </row>
    <row r="298" spans="2:53" ht="12.9" customHeight="1">
      <c r="B298" s="15"/>
      <c r="C298" s="15"/>
      <c r="D298" s="15"/>
      <c r="AY298" s="14"/>
      <c r="AZ298" s="14"/>
      <c r="BA298" s="14"/>
    </row>
    <row r="299" spans="2:53" ht="12.9" customHeight="1">
      <c r="B299" s="15"/>
      <c r="C299" s="15"/>
      <c r="D299" s="15"/>
      <c r="AY299" s="14"/>
      <c r="AZ299" s="14"/>
      <c r="BA299" s="14"/>
    </row>
    <row r="300" spans="2:53" ht="12.9" customHeight="1">
      <c r="B300" s="15"/>
      <c r="C300" s="15"/>
      <c r="D300" s="15"/>
      <c r="AY300" s="14"/>
      <c r="AZ300" s="14"/>
      <c r="BA300" s="14"/>
    </row>
    <row r="301" spans="2:53" ht="12.9" customHeight="1">
      <c r="B301" s="15"/>
      <c r="C301" s="15"/>
      <c r="D301" s="15"/>
      <c r="AY301" s="14"/>
      <c r="AZ301" s="14"/>
      <c r="BA301" s="14"/>
    </row>
    <row r="302" spans="2:53" ht="12.9" customHeight="1">
      <c r="B302" s="15"/>
      <c r="C302" s="15"/>
      <c r="D302" s="15"/>
      <c r="AY302" s="14"/>
      <c r="AZ302" s="14"/>
      <c r="BA302" s="14"/>
    </row>
    <row r="303" spans="2:53" ht="12.9" customHeight="1">
      <c r="B303" s="15"/>
      <c r="C303" s="15"/>
      <c r="D303" s="15"/>
      <c r="AY303" s="14"/>
      <c r="AZ303" s="14"/>
      <c r="BA303" s="14"/>
    </row>
    <row r="304" spans="2:53" ht="12.9" customHeight="1">
      <c r="B304" s="15"/>
      <c r="C304" s="15"/>
      <c r="D304" s="15"/>
      <c r="AY304" s="14"/>
      <c r="AZ304" s="14"/>
      <c r="BA304" s="14"/>
    </row>
    <row r="305" spans="2:53" ht="12.9" customHeight="1">
      <c r="B305" s="15"/>
      <c r="C305" s="15"/>
      <c r="D305" s="15"/>
      <c r="AY305" s="14"/>
      <c r="AZ305" s="14"/>
      <c r="BA305" s="14"/>
    </row>
    <row r="306" spans="2:53" ht="12.9" customHeight="1">
      <c r="B306" s="15"/>
      <c r="C306" s="15"/>
      <c r="D306" s="15"/>
      <c r="AY306" s="14"/>
      <c r="AZ306" s="14"/>
      <c r="BA306" s="14"/>
    </row>
    <row r="307" spans="2:53" ht="12.9" customHeight="1">
      <c r="B307" s="15"/>
      <c r="C307" s="15"/>
      <c r="D307" s="15"/>
      <c r="AY307" s="14"/>
      <c r="AZ307" s="14"/>
      <c r="BA307" s="14"/>
    </row>
    <row r="308" spans="2:53" ht="12.9" customHeight="1">
      <c r="B308" s="15"/>
      <c r="C308" s="15"/>
      <c r="D308" s="15"/>
      <c r="AY308" s="14"/>
      <c r="AZ308" s="14"/>
      <c r="BA308" s="14"/>
    </row>
    <row r="309" spans="2:53" ht="12.9" customHeight="1">
      <c r="B309" s="15"/>
      <c r="C309" s="15"/>
      <c r="D309" s="15"/>
      <c r="AY309" s="14"/>
      <c r="AZ309" s="14"/>
      <c r="BA309" s="14"/>
    </row>
    <row r="310" spans="2:53" ht="12.9" customHeight="1">
      <c r="B310" s="15"/>
      <c r="C310" s="15"/>
      <c r="D310" s="15"/>
      <c r="AY310" s="14"/>
      <c r="AZ310" s="14"/>
      <c r="BA310" s="14"/>
    </row>
    <row r="311" spans="2:53" ht="12.9" customHeight="1">
      <c r="B311" s="15"/>
      <c r="C311" s="15"/>
      <c r="D311" s="15"/>
      <c r="AY311" s="14"/>
      <c r="AZ311" s="14"/>
      <c r="BA311" s="14"/>
    </row>
    <row r="312" spans="2:53" ht="12.9" customHeight="1">
      <c r="B312" s="15"/>
      <c r="C312" s="15"/>
      <c r="D312" s="15"/>
      <c r="AY312" s="14"/>
      <c r="AZ312" s="14"/>
      <c r="BA312" s="14"/>
    </row>
    <row r="313" spans="2:53" ht="12.9" customHeight="1">
      <c r="B313" s="15"/>
      <c r="C313" s="15"/>
      <c r="D313" s="15"/>
      <c r="AY313" s="14"/>
      <c r="AZ313" s="14"/>
      <c r="BA313" s="14"/>
    </row>
    <row r="314" spans="2:53" ht="12.9" customHeight="1">
      <c r="B314" s="15"/>
      <c r="C314" s="15"/>
      <c r="D314" s="15"/>
      <c r="AY314" s="14"/>
      <c r="AZ314" s="14"/>
      <c r="BA314" s="14"/>
    </row>
    <row r="315" spans="2:53" ht="12.9" customHeight="1">
      <c r="B315" s="15"/>
      <c r="C315" s="15"/>
      <c r="D315" s="15"/>
      <c r="AY315" s="14"/>
      <c r="AZ315" s="14"/>
      <c r="BA315" s="14"/>
    </row>
    <row r="316" spans="2:53" ht="12.9" customHeight="1">
      <c r="B316" s="15"/>
      <c r="C316" s="15"/>
      <c r="D316" s="15"/>
      <c r="AY316" s="14"/>
      <c r="AZ316" s="14"/>
      <c r="BA316" s="14"/>
    </row>
    <row r="317" spans="2:53" ht="12.9" customHeight="1">
      <c r="B317" s="15"/>
      <c r="C317" s="15"/>
      <c r="D317" s="15"/>
      <c r="AY317" s="14"/>
      <c r="AZ317" s="14"/>
      <c r="BA317" s="14"/>
    </row>
    <row r="318" spans="2:53" ht="12.9" customHeight="1">
      <c r="B318" s="15"/>
      <c r="C318" s="15"/>
      <c r="D318" s="15"/>
      <c r="AY318" s="14"/>
      <c r="AZ318" s="14"/>
      <c r="BA318" s="14"/>
    </row>
    <row r="319" spans="2:53" ht="12.9" customHeight="1">
      <c r="B319" s="15"/>
      <c r="C319" s="15"/>
      <c r="D319" s="15"/>
      <c r="AY319" s="14"/>
      <c r="AZ319" s="14"/>
      <c r="BA319" s="14"/>
    </row>
    <row r="320" spans="2:53" ht="12.9" customHeight="1">
      <c r="B320" s="15"/>
      <c r="C320" s="15"/>
      <c r="D320" s="15"/>
      <c r="AY320" s="14"/>
      <c r="AZ320" s="14"/>
      <c r="BA320" s="14"/>
    </row>
    <row r="321" spans="2:53" ht="12.9" customHeight="1">
      <c r="B321" s="15"/>
      <c r="C321" s="15"/>
      <c r="D321" s="15"/>
      <c r="AY321" s="14"/>
      <c r="AZ321" s="14"/>
      <c r="BA321" s="14"/>
    </row>
    <row r="322" spans="2:53" ht="12.9" customHeight="1">
      <c r="B322" s="15"/>
      <c r="C322" s="15"/>
      <c r="D322" s="15"/>
      <c r="AY322" s="14"/>
      <c r="AZ322" s="14"/>
      <c r="BA322" s="14"/>
    </row>
    <row r="323" spans="2:53" ht="12.9" customHeight="1">
      <c r="B323" s="15"/>
      <c r="C323" s="15"/>
      <c r="D323" s="15"/>
      <c r="AY323" s="14"/>
      <c r="AZ323" s="14"/>
      <c r="BA323" s="14"/>
    </row>
    <row r="324" spans="2:53" ht="12.9" customHeight="1">
      <c r="B324" s="15"/>
      <c r="C324" s="15"/>
      <c r="D324" s="15"/>
      <c r="AY324" s="14"/>
      <c r="AZ324" s="14"/>
      <c r="BA324" s="14"/>
    </row>
    <row r="325" spans="2:53" ht="12.9" customHeight="1">
      <c r="B325" s="15"/>
      <c r="C325" s="15"/>
      <c r="D325" s="15"/>
      <c r="AY325" s="14"/>
      <c r="AZ325" s="14"/>
      <c r="BA325" s="14"/>
    </row>
    <row r="326" spans="2:53" ht="12.9" customHeight="1">
      <c r="B326" s="15"/>
      <c r="C326" s="15"/>
      <c r="D326" s="15"/>
      <c r="AY326" s="14"/>
      <c r="AZ326" s="14"/>
      <c r="BA326" s="14"/>
    </row>
    <row r="327" spans="2:53" ht="12.9" customHeight="1">
      <c r="B327" s="15"/>
      <c r="C327" s="15"/>
      <c r="D327" s="15"/>
      <c r="AY327" s="14"/>
      <c r="AZ327" s="14"/>
      <c r="BA327" s="14"/>
    </row>
    <row r="328" spans="2:53" ht="12.9" customHeight="1">
      <c r="B328" s="15"/>
      <c r="C328" s="15"/>
      <c r="D328" s="15"/>
      <c r="AY328" s="14"/>
      <c r="AZ328" s="14"/>
      <c r="BA328" s="14"/>
    </row>
    <row r="329" spans="2:53" ht="12.9" customHeight="1">
      <c r="B329" s="15"/>
      <c r="C329" s="15"/>
      <c r="D329" s="15"/>
      <c r="AY329" s="14"/>
      <c r="AZ329" s="14"/>
      <c r="BA329" s="14"/>
    </row>
    <row r="330" spans="2:53" ht="12.9" customHeight="1">
      <c r="B330" s="15"/>
      <c r="C330" s="15"/>
      <c r="D330" s="15"/>
      <c r="AY330" s="14"/>
      <c r="AZ330" s="14"/>
      <c r="BA330" s="14"/>
    </row>
    <row r="331" spans="2:53" ht="12.9" customHeight="1">
      <c r="B331" s="15"/>
      <c r="C331" s="15"/>
      <c r="D331" s="15"/>
      <c r="AY331" s="14"/>
      <c r="AZ331" s="14"/>
      <c r="BA331" s="14"/>
    </row>
    <row r="332" spans="2:53" ht="12.9" customHeight="1">
      <c r="B332" s="15"/>
      <c r="C332" s="15"/>
      <c r="D332" s="15"/>
      <c r="AY332" s="14"/>
      <c r="AZ332" s="14"/>
      <c r="BA332" s="14"/>
    </row>
    <row r="333" spans="2:53" ht="12.9" customHeight="1">
      <c r="B333" s="15"/>
      <c r="C333" s="15"/>
      <c r="D333" s="15"/>
      <c r="AY333" s="14"/>
      <c r="AZ333" s="14"/>
      <c r="BA333" s="14"/>
    </row>
    <row r="334" spans="2:53" ht="12.9" customHeight="1">
      <c r="B334" s="15"/>
      <c r="C334" s="15"/>
      <c r="D334" s="15"/>
      <c r="AY334" s="14"/>
      <c r="AZ334" s="14"/>
      <c r="BA334" s="14"/>
    </row>
    <row r="335" spans="2:53" ht="12.9" customHeight="1">
      <c r="B335" s="15"/>
      <c r="C335" s="15"/>
      <c r="D335" s="15"/>
      <c r="AY335" s="14"/>
      <c r="AZ335" s="14"/>
      <c r="BA335" s="14"/>
    </row>
    <row r="336" spans="2:53" ht="12.9" customHeight="1">
      <c r="B336" s="15"/>
      <c r="C336" s="15"/>
      <c r="D336" s="15"/>
      <c r="AY336" s="14"/>
      <c r="AZ336" s="14"/>
      <c r="BA336" s="14"/>
    </row>
    <row r="337" spans="2:53" ht="12.9" customHeight="1">
      <c r="B337" s="15"/>
      <c r="C337" s="15"/>
      <c r="D337" s="15"/>
      <c r="AY337" s="14"/>
      <c r="AZ337" s="14"/>
      <c r="BA337" s="14"/>
    </row>
    <row r="338" spans="2:53" ht="12.9" customHeight="1">
      <c r="B338" s="15"/>
      <c r="C338" s="15"/>
      <c r="D338" s="15"/>
      <c r="AY338" s="14"/>
      <c r="AZ338" s="14"/>
      <c r="BA338" s="14"/>
    </row>
    <row r="339" spans="2:53" ht="12.9" customHeight="1">
      <c r="B339" s="15"/>
      <c r="C339" s="15"/>
      <c r="D339" s="15"/>
      <c r="AY339" s="14"/>
      <c r="AZ339" s="14"/>
      <c r="BA339" s="14"/>
    </row>
    <row r="340" spans="2:53" ht="12.9" customHeight="1">
      <c r="B340" s="15"/>
      <c r="C340" s="15"/>
      <c r="D340" s="15"/>
      <c r="AY340" s="14"/>
      <c r="AZ340" s="14"/>
      <c r="BA340" s="14"/>
    </row>
    <row r="341" spans="2:53" ht="12.9" customHeight="1">
      <c r="B341" s="15"/>
      <c r="C341" s="15"/>
      <c r="D341" s="15"/>
      <c r="AY341" s="14"/>
      <c r="AZ341" s="14"/>
      <c r="BA341" s="14"/>
    </row>
    <row r="342" spans="2:53" ht="12.9" customHeight="1">
      <c r="B342" s="15"/>
      <c r="C342" s="15"/>
      <c r="D342" s="15"/>
      <c r="AY342" s="14"/>
      <c r="AZ342" s="14"/>
      <c r="BA342" s="14"/>
    </row>
    <row r="343" spans="2:53" ht="12.9" customHeight="1">
      <c r="B343" s="15"/>
      <c r="C343" s="15"/>
      <c r="D343" s="15"/>
      <c r="AY343" s="14"/>
      <c r="AZ343" s="14"/>
      <c r="BA343" s="14"/>
    </row>
    <row r="344" spans="2:53" ht="12.9" customHeight="1">
      <c r="B344" s="15"/>
      <c r="C344" s="15"/>
      <c r="D344" s="15"/>
      <c r="AY344" s="14"/>
      <c r="AZ344" s="14"/>
      <c r="BA344" s="14"/>
    </row>
    <row r="345" spans="2:53" ht="12.9" customHeight="1">
      <c r="B345" s="15"/>
      <c r="C345" s="15"/>
      <c r="D345" s="15"/>
      <c r="AY345" s="14"/>
      <c r="AZ345" s="14"/>
      <c r="BA345" s="14"/>
    </row>
    <row r="346" spans="2:53" ht="12.9" customHeight="1">
      <c r="B346" s="15"/>
      <c r="C346" s="15"/>
      <c r="D346" s="15"/>
      <c r="AY346" s="14"/>
      <c r="AZ346" s="14"/>
      <c r="BA346" s="14"/>
    </row>
    <row r="347" spans="2:53" ht="12.9" customHeight="1">
      <c r="B347" s="15"/>
      <c r="C347" s="15"/>
      <c r="D347" s="15"/>
      <c r="AY347" s="14"/>
      <c r="AZ347" s="14"/>
      <c r="BA347" s="14"/>
    </row>
    <row r="348" spans="2:53" ht="12.9" customHeight="1">
      <c r="B348" s="15"/>
      <c r="C348" s="15"/>
      <c r="D348" s="15"/>
      <c r="AY348" s="14"/>
      <c r="AZ348" s="14"/>
      <c r="BA348" s="14"/>
    </row>
    <row r="349" spans="2:53" ht="12.9" customHeight="1">
      <c r="B349" s="15"/>
      <c r="C349" s="15"/>
      <c r="D349" s="15"/>
      <c r="AY349" s="14"/>
      <c r="AZ349" s="14"/>
      <c r="BA349" s="14"/>
    </row>
    <row r="350" spans="2:53" ht="12.9" customHeight="1">
      <c r="B350" s="15"/>
      <c r="C350" s="15"/>
      <c r="D350" s="15"/>
      <c r="AY350" s="14"/>
      <c r="AZ350" s="14"/>
      <c r="BA350" s="14"/>
    </row>
    <row r="351" spans="2:53" ht="12.9" customHeight="1">
      <c r="B351" s="15"/>
      <c r="C351" s="15"/>
      <c r="D351" s="15"/>
      <c r="AY351" s="14"/>
      <c r="AZ351" s="14"/>
      <c r="BA351" s="14"/>
    </row>
    <row r="352" spans="2:53" ht="12.9" customHeight="1">
      <c r="B352" s="15"/>
      <c r="C352" s="15"/>
      <c r="D352" s="15"/>
      <c r="AY352" s="14"/>
      <c r="AZ352" s="14"/>
      <c r="BA352" s="14"/>
    </row>
    <row r="353" spans="2:53" ht="12.9" customHeight="1">
      <c r="B353" s="15"/>
      <c r="C353" s="15"/>
      <c r="D353" s="15"/>
      <c r="AY353" s="14"/>
      <c r="AZ353" s="14"/>
      <c r="BA353" s="14"/>
    </row>
    <row r="354" spans="2:53" ht="12.9" customHeight="1">
      <c r="B354" s="15"/>
      <c r="C354" s="15"/>
      <c r="D354" s="15"/>
      <c r="AY354" s="14"/>
      <c r="AZ354" s="14"/>
      <c r="BA354" s="14"/>
    </row>
    <row r="355" spans="2:53" ht="12.9" customHeight="1">
      <c r="B355" s="15"/>
      <c r="C355" s="15"/>
      <c r="D355" s="15"/>
      <c r="AY355" s="14"/>
      <c r="AZ355" s="14"/>
      <c r="BA355" s="14"/>
    </row>
    <row r="356" spans="2:53" ht="12.9" customHeight="1">
      <c r="B356" s="15"/>
      <c r="C356" s="15"/>
      <c r="D356" s="15"/>
      <c r="AY356" s="14"/>
      <c r="AZ356" s="14"/>
      <c r="BA356" s="14"/>
    </row>
    <row r="357" spans="2:53" ht="12.9" customHeight="1">
      <c r="B357" s="15"/>
      <c r="C357" s="15"/>
      <c r="D357" s="15"/>
      <c r="AY357" s="14"/>
      <c r="AZ357" s="14"/>
      <c r="BA357" s="14"/>
    </row>
    <row r="358" spans="2:53" ht="12.9" customHeight="1">
      <c r="B358" s="15"/>
      <c r="C358" s="15"/>
      <c r="D358" s="15"/>
      <c r="AY358" s="14"/>
      <c r="AZ358" s="14"/>
      <c r="BA358" s="14"/>
    </row>
    <row r="359" spans="2:53" ht="12.9" customHeight="1">
      <c r="B359" s="15"/>
      <c r="C359" s="15"/>
      <c r="D359" s="15"/>
      <c r="AY359" s="14"/>
      <c r="AZ359" s="14"/>
      <c r="BA359" s="14"/>
    </row>
    <row r="360" spans="2:53" ht="12.9" customHeight="1">
      <c r="B360" s="15"/>
      <c r="C360" s="15"/>
      <c r="D360" s="15"/>
      <c r="AY360" s="14"/>
      <c r="AZ360" s="14"/>
      <c r="BA360" s="14"/>
    </row>
    <row r="361" spans="2:53" ht="12.9" customHeight="1">
      <c r="B361" s="15"/>
      <c r="C361" s="15"/>
      <c r="D361" s="15"/>
      <c r="AY361" s="14"/>
      <c r="AZ361" s="14"/>
      <c r="BA361" s="14"/>
    </row>
    <row r="362" spans="2:53" ht="12.9" customHeight="1">
      <c r="B362" s="15"/>
      <c r="C362" s="15"/>
      <c r="D362" s="15"/>
      <c r="AY362" s="14"/>
      <c r="AZ362" s="14"/>
      <c r="BA362" s="14"/>
    </row>
    <row r="363" spans="2:53" ht="12.9" customHeight="1">
      <c r="B363" s="15"/>
      <c r="C363" s="15"/>
      <c r="D363" s="15"/>
      <c r="AY363" s="14"/>
      <c r="AZ363" s="14"/>
      <c r="BA363" s="14"/>
    </row>
    <row r="364" spans="2:53" ht="12.9" customHeight="1">
      <c r="B364" s="15"/>
      <c r="C364" s="15"/>
      <c r="D364" s="15"/>
      <c r="AY364" s="14"/>
      <c r="AZ364" s="14"/>
      <c r="BA364" s="14"/>
    </row>
    <row r="365" spans="2:53" ht="12.9" customHeight="1">
      <c r="B365" s="15"/>
      <c r="C365" s="15"/>
      <c r="D365" s="15"/>
      <c r="AY365" s="14"/>
      <c r="AZ365" s="14"/>
      <c r="BA365" s="14"/>
    </row>
    <row r="366" spans="2:53" ht="12.9" customHeight="1">
      <c r="B366" s="15"/>
      <c r="C366" s="15"/>
      <c r="D366" s="15"/>
      <c r="AY366" s="14"/>
      <c r="AZ366" s="14"/>
      <c r="BA366" s="14"/>
    </row>
    <row r="367" spans="2:53" ht="12.9" customHeight="1">
      <c r="B367" s="15"/>
      <c r="C367" s="15"/>
      <c r="D367" s="15"/>
      <c r="AY367" s="14"/>
      <c r="AZ367" s="14"/>
      <c r="BA367" s="14"/>
    </row>
    <row r="368" spans="2:53" ht="12.9" customHeight="1">
      <c r="B368" s="15"/>
      <c r="C368" s="15"/>
      <c r="D368" s="15"/>
      <c r="AY368" s="14"/>
      <c r="AZ368" s="14"/>
      <c r="BA368" s="14"/>
    </row>
    <row r="369" spans="2:53" ht="12.9" customHeight="1">
      <c r="B369" s="15"/>
      <c r="C369" s="15"/>
      <c r="D369" s="15"/>
      <c r="AY369" s="14"/>
      <c r="AZ369" s="14"/>
      <c r="BA369" s="14"/>
    </row>
    <row r="370" spans="2:53" ht="12.9" customHeight="1">
      <c r="B370" s="15"/>
      <c r="C370" s="15"/>
      <c r="D370" s="15"/>
      <c r="AY370" s="14"/>
      <c r="AZ370" s="14"/>
      <c r="BA370" s="14"/>
    </row>
    <row r="371" spans="2:53" ht="12.9" customHeight="1">
      <c r="B371" s="15"/>
      <c r="C371" s="15"/>
      <c r="D371" s="15"/>
      <c r="AY371" s="14"/>
      <c r="AZ371" s="14"/>
      <c r="BA371" s="14"/>
    </row>
    <row r="372" spans="2:53" ht="12.9" customHeight="1">
      <c r="B372" s="15"/>
      <c r="C372" s="15"/>
      <c r="D372" s="15"/>
      <c r="AY372" s="14"/>
      <c r="AZ372" s="14"/>
      <c r="BA372" s="14"/>
    </row>
    <row r="373" spans="2:53" ht="12.9" customHeight="1">
      <c r="B373" s="15"/>
      <c r="C373" s="15"/>
      <c r="D373" s="15"/>
      <c r="AY373" s="14"/>
      <c r="AZ373" s="14"/>
      <c r="BA373" s="14"/>
    </row>
    <row r="374" spans="2:53" ht="12.9" customHeight="1">
      <c r="B374" s="15"/>
      <c r="C374" s="15"/>
      <c r="D374" s="15"/>
      <c r="AY374" s="14"/>
      <c r="AZ374" s="14"/>
      <c r="BA374" s="14"/>
    </row>
    <row r="375" spans="2:53" ht="12.9" customHeight="1">
      <c r="B375" s="15"/>
      <c r="C375" s="15"/>
      <c r="D375" s="15"/>
      <c r="AY375" s="14"/>
      <c r="AZ375" s="14"/>
      <c r="BA375" s="14"/>
    </row>
    <row r="376" spans="2:53" ht="12.9" customHeight="1">
      <c r="B376" s="15"/>
      <c r="C376" s="15"/>
      <c r="D376" s="15"/>
      <c r="AY376" s="14"/>
      <c r="AZ376" s="14"/>
      <c r="BA376" s="14"/>
    </row>
    <row r="377" spans="2:53" ht="12.9" customHeight="1">
      <c r="B377" s="15"/>
      <c r="C377" s="15"/>
      <c r="D377" s="15"/>
      <c r="AY377" s="14"/>
      <c r="AZ377" s="14"/>
      <c r="BA377" s="14"/>
    </row>
    <row r="378" spans="2:53" ht="12.9" customHeight="1">
      <c r="B378" s="15"/>
      <c r="C378" s="15"/>
      <c r="D378" s="15"/>
      <c r="AY378" s="14"/>
      <c r="AZ378" s="14"/>
      <c r="BA378" s="14"/>
    </row>
    <row r="379" spans="2:53" ht="12.9" customHeight="1">
      <c r="B379" s="15"/>
      <c r="C379" s="15"/>
      <c r="D379" s="15"/>
      <c r="AY379" s="14"/>
      <c r="AZ379" s="14"/>
      <c r="BA379" s="14"/>
    </row>
    <row r="380" spans="2:53" ht="12.9" customHeight="1">
      <c r="B380" s="15"/>
      <c r="C380" s="15"/>
      <c r="D380" s="15"/>
      <c r="AY380" s="14"/>
      <c r="AZ380" s="14"/>
      <c r="BA380" s="14"/>
    </row>
    <row r="381" spans="2:53" ht="12.9" customHeight="1">
      <c r="B381" s="15"/>
      <c r="C381" s="15"/>
      <c r="D381" s="15"/>
      <c r="AY381" s="14"/>
      <c r="AZ381" s="14"/>
      <c r="BA381" s="14"/>
    </row>
    <row r="382" spans="2:53" ht="12.9" customHeight="1">
      <c r="B382" s="15"/>
      <c r="C382" s="15"/>
      <c r="D382" s="15"/>
      <c r="AY382" s="14"/>
      <c r="AZ382" s="14"/>
      <c r="BA382" s="14"/>
    </row>
    <row r="383" spans="2:53" ht="12.9" customHeight="1">
      <c r="B383" s="15"/>
      <c r="C383" s="15"/>
      <c r="D383" s="15"/>
      <c r="AY383" s="14"/>
      <c r="AZ383" s="14"/>
      <c r="BA383" s="14"/>
    </row>
    <row r="384" spans="2:53" ht="12.9" customHeight="1">
      <c r="B384" s="15"/>
      <c r="C384" s="15"/>
      <c r="D384" s="15"/>
      <c r="AY384" s="14"/>
      <c r="AZ384" s="14"/>
      <c r="BA384" s="14"/>
    </row>
    <row r="385" spans="2:53" ht="12.9" customHeight="1">
      <c r="B385" s="15"/>
      <c r="C385" s="15"/>
      <c r="D385" s="15"/>
      <c r="AY385" s="14"/>
      <c r="AZ385" s="14"/>
      <c r="BA385" s="14"/>
    </row>
    <row r="386" spans="2:53" ht="12.9" customHeight="1">
      <c r="B386" s="15"/>
      <c r="C386" s="15"/>
      <c r="D386" s="15"/>
      <c r="AY386" s="14"/>
      <c r="AZ386" s="14"/>
      <c r="BA386" s="14"/>
    </row>
    <row r="387" spans="2:53" ht="12.9" customHeight="1">
      <c r="B387" s="15"/>
      <c r="C387" s="15"/>
      <c r="D387" s="15"/>
      <c r="AY387" s="14"/>
      <c r="AZ387" s="14"/>
      <c r="BA387" s="14"/>
    </row>
    <row r="388" spans="2:53" ht="12.9" customHeight="1">
      <c r="B388" s="15"/>
      <c r="C388" s="15"/>
      <c r="D388" s="15"/>
      <c r="AY388" s="14"/>
      <c r="AZ388" s="14"/>
      <c r="BA388" s="14"/>
    </row>
    <row r="389" spans="2:53" ht="12.9" customHeight="1">
      <c r="B389" s="15"/>
      <c r="C389" s="15"/>
      <c r="D389" s="15"/>
      <c r="AY389" s="14"/>
      <c r="AZ389" s="14"/>
      <c r="BA389" s="14"/>
    </row>
    <row r="390" spans="2:53" ht="12.9" customHeight="1">
      <c r="B390" s="15"/>
      <c r="C390" s="15"/>
      <c r="D390" s="15"/>
      <c r="AY390" s="14"/>
      <c r="AZ390" s="14"/>
      <c r="BA390" s="14"/>
    </row>
    <row r="391" spans="2:53" ht="12.9" customHeight="1">
      <c r="B391" s="15"/>
      <c r="C391" s="15"/>
      <c r="D391" s="15"/>
      <c r="AY391" s="14"/>
      <c r="AZ391" s="14"/>
      <c r="BA391" s="14"/>
    </row>
    <row r="392" spans="2:53" ht="12.9" customHeight="1">
      <c r="B392" s="15"/>
      <c r="C392" s="15"/>
      <c r="D392" s="15"/>
      <c r="AY392" s="14"/>
      <c r="AZ392" s="14"/>
      <c r="BA392" s="14"/>
    </row>
    <row r="393" spans="2:53" ht="12.9" customHeight="1">
      <c r="B393" s="15"/>
      <c r="C393" s="15"/>
      <c r="D393" s="15"/>
      <c r="AY393" s="14"/>
      <c r="AZ393" s="14"/>
      <c r="BA393" s="14"/>
    </row>
    <row r="394" spans="2:53" ht="12.9" customHeight="1">
      <c r="B394" s="15"/>
      <c r="C394" s="15"/>
      <c r="D394" s="15"/>
      <c r="AY394" s="14"/>
      <c r="AZ394" s="14"/>
      <c r="BA394" s="14"/>
    </row>
    <row r="395" spans="2:53" ht="12.9" customHeight="1">
      <c r="B395" s="15"/>
      <c r="C395" s="15"/>
      <c r="D395" s="15"/>
      <c r="AY395" s="14"/>
      <c r="AZ395" s="14"/>
      <c r="BA395" s="14"/>
    </row>
    <row r="396" spans="2:53" ht="12.9" customHeight="1">
      <c r="B396" s="15"/>
      <c r="C396" s="15"/>
      <c r="D396" s="15"/>
      <c r="AY396" s="14"/>
      <c r="AZ396" s="14"/>
      <c r="BA396" s="14"/>
    </row>
    <row r="397" spans="2:53" ht="12.9" customHeight="1">
      <c r="B397" s="15"/>
      <c r="C397" s="15"/>
      <c r="D397" s="15"/>
      <c r="AY397" s="14"/>
      <c r="AZ397" s="14"/>
      <c r="BA397" s="14"/>
    </row>
    <row r="398" spans="2:53" ht="12.9" customHeight="1">
      <c r="B398" s="15"/>
      <c r="C398" s="15"/>
      <c r="D398" s="15"/>
      <c r="AY398" s="14"/>
      <c r="AZ398" s="14"/>
      <c r="BA398" s="14"/>
    </row>
    <row r="399" spans="2:53" ht="12.9" customHeight="1">
      <c r="B399" s="15"/>
      <c r="C399" s="15"/>
      <c r="D399" s="15"/>
      <c r="AY399" s="14"/>
      <c r="AZ399" s="14"/>
      <c r="BA399" s="14"/>
    </row>
    <row r="400" spans="2:53" ht="12.9" customHeight="1">
      <c r="B400" s="15"/>
      <c r="C400" s="15"/>
      <c r="D400" s="15"/>
      <c r="AY400" s="14"/>
      <c r="AZ400" s="14"/>
      <c r="BA400" s="14"/>
    </row>
    <row r="401" spans="2:53" ht="12.9" customHeight="1">
      <c r="B401" s="15"/>
      <c r="C401" s="15"/>
      <c r="D401" s="15"/>
      <c r="AY401" s="14"/>
      <c r="AZ401" s="14"/>
      <c r="BA401" s="14"/>
    </row>
    <row r="402" spans="2:53" ht="12.9" customHeight="1">
      <c r="B402" s="15"/>
      <c r="C402" s="15"/>
      <c r="D402" s="15"/>
      <c r="AY402" s="14"/>
      <c r="AZ402" s="14"/>
      <c r="BA402" s="14"/>
    </row>
    <row r="403" spans="2:53" ht="12.9" customHeight="1">
      <c r="B403" s="15"/>
      <c r="C403" s="15"/>
      <c r="D403" s="15"/>
      <c r="AY403" s="14"/>
      <c r="AZ403" s="14"/>
      <c r="BA403" s="14"/>
    </row>
    <row r="404" spans="2:53" ht="12.9" customHeight="1">
      <c r="B404" s="15"/>
      <c r="C404" s="15"/>
      <c r="D404" s="15"/>
      <c r="AY404" s="14"/>
      <c r="AZ404" s="14"/>
      <c r="BA404" s="14"/>
    </row>
    <row r="405" spans="2:53" ht="12.9" customHeight="1">
      <c r="B405" s="15"/>
      <c r="C405" s="15"/>
      <c r="D405" s="15"/>
      <c r="AY405" s="14"/>
      <c r="AZ405" s="14"/>
      <c r="BA405" s="14"/>
    </row>
    <row r="406" spans="2:53" ht="12.9" customHeight="1">
      <c r="B406" s="15"/>
      <c r="C406" s="15"/>
      <c r="D406" s="15"/>
      <c r="AY406" s="14"/>
      <c r="AZ406" s="14"/>
      <c r="BA406" s="14"/>
    </row>
    <row r="407" spans="2:53" ht="12.9" customHeight="1">
      <c r="B407" s="15"/>
      <c r="C407" s="15"/>
      <c r="D407" s="15"/>
      <c r="AY407" s="14"/>
      <c r="AZ407" s="14"/>
      <c r="BA407" s="14"/>
    </row>
    <row r="408" spans="2:53" ht="12.9" customHeight="1">
      <c r="B408" s="15"/>
      <c r="C408" s="15"/>
      <c r="D408" s="15"/>
      <c r="AY408" s="14"/>
      <c r="AZ408" s="14"/>
      <c r="BA408" s="14"/>
    </row>
    <row r="409" spans="2:53" ht="12.9" customHeight="1">
      <c r="B409" s="15"/>
      <c r="C409" s="15"/>
      <c r="D409" s="15"/>
      <c r="AY409" s="14"/>
      <c r="AZ409" s="14"/>
      <c r="BA409" s="14"/>
    </row>
    <row r="410" spans="2:53" ht="12.9" customHeight="1">
      <c r="B410" s="15"/>
      <c r="C410" s="15"/>
      <c r="D410" s="15"/>
      <c r="AY410" s="14"/>
      <c r="AZ410" s="14"/>
      <c r="BA410" s="14"/>
    </row>
    <row r="411" spans="2:53" ht="12.9" customHeight="1">
      <c r="B411" s="15"/>
      <c r="C411" s="15"/>
      <c r="D411" s="15"/>
      <c r="AY411" s="14"/>
      <c r="AZ411" s="14"/>
      <c r="BA411" s="14"/>
    </row>
    <row r="412" spans="2:53" ht="12.9" customHeight="1">
      <c r="B412" s="15"/>
      <c r="C412" s="15"/>
      <c r="D412" s="15"/>
      <c r="AY412" s="14"/>
      <c r="AZ412" s="14"/>
      <c r="BA412" s="14"/>
    </row>
    <row r="413" spans="2:53" ht="12.9" customHeight="1">
      <c r="B413" s="15"/>
      <c r="C413" s="15"/>
      <c r="D413" s="15"/>
      <c r="AY413" s="14"/>
      <c r="AZ413" s="14"/>
      <c r="BA413" s="14"/>
    </row>
    <row r="414" spans="2:53" ht="12.9" customHeight="1">
      <c r="B414" s="15"/>
      <c r="C414" s="15"/>
      <c r="D414" s="15"/>
      <c r="AY414" s="14"/>
      <c r="AZ414" s="14"/>
      <c r="BA414" s="14"/>
    </row>
    <row r="415" spans="2:53" ht="12.9" customHeight="1">
      <c r="B415" s="15"/>
      <c r="C415" s="15"/>
      <c r="D415" s="15"/>
      <c r="AY415" s="14"/>
      <c r="AZ415" s="14"/>
      <c r="BA415" s="14"/>
    </row>
    <row r="416" spans="2:53" ht="12.9" customHeight="1">
      <c r="B416" s="15"/>
      <c r="C416" s="15"/>
      <c r="D416" s="15"/>
      <c r="AY416" s="14"/>
      <c r="AZ416" s="14"/>
      <c r="BA416" s="14"/>
    </row>
    <row r="417" spans="2:53" ht="12.9" customHeight="1">
      <c r="B417" s="15"/>
      <c r="C417" s="15"/>
      <c r="D417" s="15"/>
      <c r="AY417" s="14"/>
      <c r="AZ417" s="14"/>
      <c r="BA417" s="14"/>
    </row>
    <row r="418" spans="2:53" ht="12.9" customHeight="1">
      <c r="B418" s="15"/>
      <c r="C418" s="15"/>
      <c r="D418" s="15"/>
      <c r="AY418" s="14"/>
      <c r="AZ418" s="14"/>
      <c r="BA418" s="14"/>
    </row>
    <row r="419" spans="2:53" ht="12.9" customHeight="1">
      <c r="B419" s="15"/>
      <c r="C419" s="15"/>
      <c r="D419" s="15"/>
      <c r="AY419" s="14"/>
      <c r="AZ419" s="14"/>
      <c r="BA419" s="14"/>
    </row>
    <row r="420" spans="2:53" ht="12.9" customHeight="1">
      <c r="B420" s="15"/>
      <c r="C420" s="15"/>
      <c r="D420" s="15"/>
      <c r="AY420" s="14"/>
      <c r="AZ420" s="14"/>
      <c r="BA420" s="14"/>
    </row>
    <row r="421" spans="2:53" ht="12.9" customHeight="1">
      <c r="B421" s="15"/>
      <c r="C421" s="15"/>
      <c r="D421" s="15"/>
      <c r="AY421" s="14"/>
      <c r="AZ421" s="14"/>
      <c r="BA421" s="14"/>
    </row>
    <row r="422" spans="2:53" ht="12.9" customHeight="1">
      <c r="B422" s="15"/>
      <c r="C422" s="15"/>
      <c r="D422" s="15"/>
      <c r="AY422" s="14"/>
      <c r="AZ422" s="14"/>
      <c r="BA422" s="14"/>
    </row>
    <row r="423" spans="2:53" ht="12.9" customHeight="1">
      <c r="B423" s="15"/>
      <c r="C423" s="15"/>
      <c r="D423" s="15"/>
      <c r="AY423" s="14"/>
      <c r="AZ423" s="14"/>
      <c r="BA423" s="14"/>
    </row>
    <row r="424" spans="2:53" ht="12.9" customHeight="1">
      <c r="B424" s="15"/>
      <c r="C424" s="15"/>
      <c r="D424" s="15"/>
      <c r="AY424" s="14"/>
      <c r="AZ424" s="14"/>
      <c r="BA424" s="14"/>
    </row>
    <row r="425" spans="2:53" ht="12.9" customHeight="1">
      <c r="B425" s="15"/>
      <c r="C425" s="15"/>
      <c r="D425" s="15"/>
      <c r="AY425" s="14"/>
      <c r="AZ425" s="14"/>
      <c r="BA425" s="14"/>
    </row>
    <row r="426" spans="2:53" ht="12.9" customHeight="1">
      <c r="B426" s="15"/>
      <c r="C426" s="15"/>
      <c r="D426" s="15"/>
      <c r="AY426" s="14"/>
      <c r="AZ426" s="14"/>
      <c r="BA426" s="14"/>
    </row>
    <row r="427" spans="2:53" ht="12.9" customHeight="1">
      <c r="B427" s="15"/>
      <c r="C427" s="15"/>
      <c r="D427" s="15"/>
      <c r="AY427" s="14"/>
      <c r="AZ427" s="14"/>
      <c r="BA427" s="14"/>
    </row>
    <row r="428" spans="2:53" ht="12.9" customHeight="1">
      <c r="B428" s="15"/>
      <c r="C428" s="15"/>
      <c r="D428" s="15"/>
      <c r="AY428" s="14"/>
      <c r="AZ428" s="14"/>
      <c r="BA428" s="14"/>
    </row>
    <row r="429" spans="2:53" ht="12.9" customHeight="1">
      <c r="B429" s="15"/>
      <c r="C429" s="15"/>
      <c r="D429" s="15"/>
      <c r="AY429" s="14"/>
      <c r="AZ429" s="14"/>
      <c r="BA429" s="14"/>
    </row>
    <row r="430" spans="2:53" ht="12.9" customHeight="1">
      <c r="B430" s="15"/>
      <c r="C430" s="15"/>
      <c r="D430" s="15"/>
      <c r="AY430" s="14"/>
      <c r="AZ430" s="14"/>
      <c r="BA430" s="14"/>
    </row>
    <row r="431" spans="2:53" ht="12.9" customHeight="1">
      <c r="B431" s="15"/>
      <c r="C431" s="15"/>
      <c r="D431" s="15"/>
      <c r="AY431" s="14"/>
      <c r="AZ431" s="14"/>
      <c r="BA431" s="14"/>
    </row>
    <row r="432" spans="2:53" ht="12.9" customHeight="1">
      <c r="B432" s="15"/>
      <c r="C432" s="15"/>
      <c r="D432" s="15"/>
      <c r="AY432" s="14"/>
      <c r="AZ432" s="14"/>
      <c r="BA432" s="14"/>
    </row>
    <row r="433" spans="2:53" ht="12.9" customHeight="1">
      <c r="B433" s="15"/>
      <c r="C433" s="15"/>
      <c r="D433" s="15"/>
      <c r="AY433" s="14"/>
      <c r="AZ433" s="14"/>
      <c r="BA433" s="14"/>
    </row>
    <row r="434" spans="2:53" ht="12.9" customHeight="1">
      <c r="B434" s="15"/>
      <c r="C434" s="15"/>
      <c r="D434" s="15"/>
      <c r="AY434" s="14"/>
      <c r="AZ434" s="14"/>
      <c r="BA434" s="14"/>
    </row>
    <row r="435" spans="2:53" ht="12.9" customHeight="1">
      <c r="B435" s="15"/>
      <c r="C435" s="15"/>
      <c r="D435" s="15"/>
      <c r="AY435" s="14"/>
      <c r="AZ435" s="14"/>
      <c r="BA435" s="14"/>
    </row>
    <row r="436" spans="2:53" ht="12.9" customHeight="1">
      <c r="B436" s="15"/>
      <c r="C436" s="15"/>
      <c r="D436" s="15"/>
      <c r="AY436" s="14"/>
      <c r="AZ436" s="14"/>
      <c r="BA436" s="14"/>
    </row>
    <row r="437" spans="2:53" ht="12.9" customHeight="1">
      <c r="B437" s="15"/>
      <c r="C437" s="15"/>
      <c r="D437" s="15"/>
      <c r="AY437" s="14"/>
      <c r="AZ437" s="14"/>
      <c r="BA437" s="14"/>
    </row>
    <row r="438" spans="2:53" ht="12.9" customHeight="1">
      <c r="B438" s="15"/>
      <c r="C438" s="15"/>
      <c r="D438" s="15"/>
      <c r="AY438" s="14"/>
      <c r="AZ438" s="14"/>
      <c r="BA438" s="14"/>
    </row>
    <row r="439" spans="2:53" ht="12.9" customHeight="1">
      <c r="B439" s="15"/>
      <c r="C439" s="15"/>
      <c r="D439" s="15"/>
      <c r="AY439" s="14"/>
      <c r="AZ439" s="14"/>
      <c r="BA439" s="14"/>
    </row>
    <row r="440" spans="2:53" ht="12.9" customHeight="1">
      <c r="B440" s="15"/>
      <c r="C440" s="15"/>
      <c r="D440" s="15"/>
      <c r="AY440" s="14"/>
      <c r="AZ440" s="14"/>
      <c r="BA440" s="14"/>
    </row>
    <row r="441" spans="2:53" ht="12.9" customHeight="1">
      <c r="B441" s="15"/>
      <c r="C441" s="15"/>
      <c r="D441" s="15"/>
      <c r="AY441" s="14"/>
      <c r="AZ441" s="14"/>
      <c r="BA441" s="14"/>
    </row>
    <row r="442" spans="2:53" ht="12.9" customHeight="1">
      <c r="B442" s="15"/>
      <c r="C442" s="15"/>
      <c r="D442" s="15"/>
      <c r="AY442" s="14"/>
      <c r="AZ442" s="14"/>
      <c r="BA442" s="14"/>
    </row>
    <row r="443" spans="2:53" ht="12.9" customHeight="1">
      <c r="B443" s="15"/>
      <c r="C443" s="15"/>
      <c r="D443" s="15"/>
      <c r="AY443" s="14"/>
      <c r="AZ443" s="14"/>
      <c r="BA443" s="14"/>
    </row>
    <row r="444" spans="2:53" ht="12.9" customHeight="1">
      <c r="B444" s="15"/>
      <c r="C444" s="15"/>
      <c r="D444" s="15"/>
      <c r="AY444" s="14"/>
      <c r="AZ444" s="14"/>
      <c r="BA444" s="14"/>
    </row>
    <row r="445" spans="2:53" ht="12.9" customHeight="1">
      <c r="B445" s="15"/>
      <c r="C445" s="15"/>
      <c r="D445" s="15"/>
      <c r="AY445" s="14"/>
      <c r="AZ445" s="14"/>
      <c r="BA445" s="14"/>
    </row>
    <row r="446" spans="2:53" ht="12.9" customHeight="1">
      <c r="B446" s="15"/>
      <c r="C446" s="15"/>
      <c r="D446" s="15"/>
      <c r="AY446" s="14"/>
      <c r="AZ446" s="14"/>
      <c r="BA446" s="14"/>
    </row>
    <row r="447" spans="2:53" ht="12.9" customHeight="1">
      <c r="B447" s="15"/>
      <c r="C447" s="15"/>
      <c r="D447" s="15"/>
      <c r="AY447" s="14"/>
      <c r="AZ447" s="14"/>
      <c r="BA447" s="14"/>
    </row>
    <row r="448" spans="2:53" ht="12.9" customHeight="1">
      <c r="B448" s="15"/>
      <c r="C448" s="15"/>
      <c r="D448" s="15"/>
      <c r="AY448" s="14"/>
      <c r="AZ448" s="14"/>
      <c r="BA448" s="14"/>
    </row>
    <row r="449" spans="2:53" ht="12.9" customHeight="1">
      <c r="B449" s="15"/>
      <c r="C449" s="15"/>
      <c r="D449" s="15"/>
      <c r="AY449" s="14"/>
      <c r="AZ449" s="14"/>
      <c r="BA449" s="14"/>
    </row>
    <row r="450" spans="2:53" ht="12.9" customHeight="1">
      <c r="B450" s="15"/>
      <c r="C450" s="15"/>
      <c r="D450" s="15"/>
      <c r="AY450" s="14"/>
      <c r="AZ450" s="14"/>
      <c r="BA450" s="14"/>
    </row>
    <row r="451" spans="2:53" ht="12.9" customHeight="1">
      <c r="B451" s="15"/>
      <c r="C451" s="15"/>
      <c r="D451" s="15"/>
      <c r="AY451" s="14"/>
      <c r="AZ451" s="14"/>
      <c r="BA451" s="14"/>
    </row>
    <row r="452" spans="2:53" ht="12.9" customHeight="1">
      <c r="B452" s="15"/>
      <c r="C452" s="15"/>
      <c r="D452" s="15"/>
      <c r="AY452" s="14"/>
      <c r="AZ452" s="14"/>
      <c r="BA452" s="14"/>
    </row>
    <row r="453" spans="2:53" ht="12.9" customHeight="1">
      <c r="B453" s="15"/>
      <c r="C453" s="15"/>
      <c r="D453" s="15"/>
      <c r="AY453" s="14"/>
      <c r="AZ453" s="14"/>
      <c r="BA453" s="14"/>
    </row>
    <row r="454" spans="2:53" ht="12.9" customHeight="1">
      <c r="B454" s="15"/>
      <c r="C454" s="15"/>
      <c r="D454" s="15"/>
      <c r="AY454" s="14"/>
      <c r="AZ454" s="14"/>
      <c r="BA454" s="14"/>
    </row>
    <row r="455" spans="2:53" ht="12.9" customHeight="1">
      <c r="B455" s="15"/>
      <c r="C455" s="15"/>
      <c r="D455" s="15"/>
      <c r="AY455" s="14"/>
      <c r="AZ455" s="14"/>
      <c r="BA455" s="14"/>
    </row>
    <row r="456" spans="2:53" ht="12.9" customHeight="1">
      <c r="B456" s="15"/>
      <c r="C456" s="15"/>
      <c r="D456" s="15"/>
      <c r="AY456" s="14"/>
      <c r="AZ456" s="14"/>
      <c r="BA456" s="14"/>
    </row>
    <row r="457" spans="2:53" ht="12.9" customHeight="1">
      <c r="B457" s="15"/>
      <c r="C457" s="15"/>
      <c r="D457" s="15"/>
      <c r="AY457" s="14"/>
      <c r="AZ457" s="14"/>
      <c r="BA457" s="14"/>
    </row>
    <row r="458" spans="2:53" ht="12.9" customHeight="1">
      <c r="B458" s="15"/>
      <c r="C458" s="15"/>
      <c r="D458" s="15"/>
      <c r="AY458" s="14"/>
      <c r="AZ458" s="14"/>
      <c r="BA458" s="14"/>
    </row>
    <row r="459" spans="2:53" ht="12.9" customHeight="1">
      <c r="B459" s="15"/>
      <c r="C459" s="15"/>
      <c r="D459" s="15"/>
      <c r="AY459" s="14"/>
      <c r="AZ459" s="14"/>
      <c r="BA459" s="14"/>
    </row>
    <row r="460" spans="2:53" ht="12.9" customHeight="1">
      <c r="B460" s="15"/>
      <c r="C460" s="15"/>
      <c r="D460" s="15"/>
      <c r="AY460" s="14"/>
      <c r="AZ460" s="14"/>
      <c r="BA460" s="14"/>
    </row>
    <row r="461" spans="2:53" ht="12.9" customHeight="1">
      <c r="B461" s="15"/>
      <c r="C461" s="15"/>
      <c r="D461" s="15"/>
      <c r="AY461" s="14"/>
      <c r="AZ461" s="14"/>
      <c r="BA461" s="14"/>
    </row>
    <row r="462" spans="2:53" ht="12.9" customHeight="1">
      <c r="B462" s="15"/>
      <c r="C462" s="15"/>
      <c r="D462" s="15"/>
      <c r="AY462" s="14"/>
      <c r="AZ462" s="14"/>
      <c r="BA462" s="14"/>
    </row>
    <row r="463" spans="2:53" ht="12.9" customHeight="1">
      <c r="B463" s="15"/>
      <c r="C463" s="15"/>
      <c r="D463" s="15"/>
      <c r="AY463" s="14"/>
      <c r="AZ463" s="14"/>
      <c r="BA463" s="14"/>
    </row>
    <row r="464" spans="2:53" ht="12.9" customHeight="1">
      <c r="B464" s="15"/>
      <c r="C464" s="15"/>
      <c r="D464" s="15"/>
      <c r="AY464" s="14"/>
      <c r="AZ464" s="14"/>
      <c r="BA464" s="14"/>
    </row>
    <row r="465" spans="2:53" ht="12.9" customHeight="1">
      <c r="B465" s="15"/>
      <c r="C465" s="15"/>
      <c r="D465" s="15"/>
      <c r="AY465" s="14"/>
      <c r="AZ465" s="14"/>
      <c r="BA465" s="14"/>
    </row>
    <row r="466" spans="2:53" ht="12.9" customHeight="1">
      <c r="B466" s="15"/>
      <c r="C466" s="15"/>
      <c r="D466" s="15"/>
      <c r="AY466" s="14"/>
      <c r="AZ466" s="14"/>
      <c r="BA466" s="14"/>
    </row>
    <row r="467" spans="2:53" ht="12.9" customHeight="1">
      <c r="B467" s="15"/>
      <c r="C467" s="15"/>
      <c r="D467" s="15"/>
      <c r="AY467" s="14"/>
      <c r="AZ467" s="14"/>
      <c r="BA467" s="14"/>
    </row>
    <row r="468" spans="2:53" ht="12.9" customHeight="1">
      <c r="B468" s="15"/>
      <c r="C468" s="15"/>
      <c r="D468" s="15"/>
      <c r="AY468" s="14"/>
      <c r="AZ468" s="14"/>
      <c r="BA468" s="14"/>
    </row>
    <row r="469" spans="2:53" ht="12.9" customHeight="1">
      <c r="B469" s="15"/>
      <c r="C469" s="15"/>
      <c r="D469" s="15"/>
      <c r="AY469" s="14"/>
      <c r="AZ469" s="14"/>
      <c r="BA469" s="14"/>
    </row>
    <row r="470" spans="2:53" ht="12.9" customHeight="1">
      <c r="B470" s="15"/>
      <c r="C470" s="15"/>
      <c r="D470" s="15"/>
      <c r="AY470" s="14"/>
      <c r="AZ470" s="14"/>
      <c r="BA470" s="14"/>
    </row>
    <row r="471" spans="2:53" ht="12.9" customHeight="1">
      <c r="B471" s="15"/>
      <c r="C471" s="15"/>
      <c r="D471" s="15"/>
      <c r="AY471" s="14"/>
      <c r="AZ471" s="14"/>
      <c r="BA471" s="14"/>
    </row>
    <row r="472" spans="2:53" ht="12.9" customHeight="1">
      <c r="B472" s="15"/>
      <c r="C472" s="15"/>
      <c r="D472" s="15"/>
      <c r="AY472" s="14"/>
      <c r="AZ472" s="14"/>
      <c r="BA472" s="14"/>
    </row>
    <row r="473" spans="2:53" ht="12.9" customHeight="1">
      <c r="B473" s="15"/>
      <c r="C473" s="15"/>
      <c r="D473" s="15"/>
      <c r="AY473" s="14"/>
      <c r="AZ473" s="14"/>
      <c r="BA473" s="14"/>
    </row>
    <row r="474" spans="2:53" ht="12.9" customHeight="1">
      <c r="B474" s="15"/>
      <c r="C474" s="15"/>
      <c r="D474" s="15"/>
      <c r="AY474" s="14"/>
      <c r="AZ474" s="14"/>
      <c r="BA474" s="14"/>
    </row>
    <row r="475" spans="2:53" ht="12.9" customHeight="1">
      <c r="B475" s="15"/>
      <c r="C475" s="15"/>
      <c r="D475" s="15"/>
      <c r="AY475" s="14"/>
      <c r="AZ475" s="14"/>
      <c r="BA475" s="14"/>
    </row>
    <row r="476" spans="2:53" ht="12.9" customHeight="1">
      <c r="B476" s="15"/>
      <c r="C476" s="15"/>
      <c r="D476" s="15"/>
      <c r="AY476" s="14"/>
      <c r="AZ476" s="14"/>
      <c r="BA476" s="14"/>
    </row>
    <row r="477" spans="2:53" ht="12.9" customHeight="1">
      <c r="B477" s="15"/>
      <c r="C477" s="15"/>
      <c r="D477" s="15"/>
      <c r="AY477" s="14"/>
      <c r="AZ477" s="14"/>
      <c r="BA477" s="14"/>
    </row>
    <row r="478" spans="2:53" ht="12.9" customHeight="1">
      <c r="B478" s="15"/>
      <c r="C478" s="15"/>
      <c r="D478" s="15"/>
      <c r="AY478" s="14"/>
      <c r="AZ478" s="14"/>
      <c r="BA478" s="14"/>
    </row>
    <row r="479" spans="2:53" ht="12.9" customHeight="1">
      <c r="B479" s="15"/>
      <c r="C479" s="15"/>
      <c r="D479" s="15"/>
      <c r="AY479" s="14"/>
      <c r="AZ479" s="14"/>
      <c r="BA479" s="14"/>
    </row>
    <row r="480" spans="2:53" ht="12.9" customHeight="1">
      <c r="B480" s="15"/>
      <c r="C480" s="15"/>
      <c r="D480" s="15"/>
      <c r="AY480" s="14"/>
      <c r="AZ480" s="14"/>
      <c r="BA480" s="14"/>
    </row>
    <row r="481" spans="2:53" ht="12.9" customHeight="1">
      <c r="B481" s="15"/>
      <c r="C481" s="15"/>
      <c r="D481" s="15"/>
      <c r="AY481" s="14"/>
      <c r="AZ481" s="14"/>
      <c r="BA481" s="14"/>
    </row>
    <row r="482" spans="2:53" ht="12.9" customHeight="1">
      <c r="B482" s="15"/>
      <c r="C482" s="15"/>
      <c r="D482" s="15"/>
      <c r="AY482" s="14"/>
      <c r="AZ482" s="14"/>
      <c r="BA482" s="14"/>
    </row>
    <row r="483" spans="2:53" ht="12.9" customHeight="1">
      <c r="B483" s="15"/>
      <c r="C483" s="15"/>
      <c r="D483" s="15"/>
      <c r="AY483" s="14"/>
      <c r="AZ483" s="14"/>
      <c r="BA483" s="14"/>
    </row>
    <row r="484" spans="2:53" ht="12.9" customHeight="1">
      <c r="B484" s="15"/>
      <c r="C484" s="15"/>
      <c r="D484" s="15"/>
      <c r="AY484" s="14"/>
      <c r="AZ484" s="14"/>
      <c r="BA484" s="14"/>
    </row>
    <row r="485" spans="2:53" ht="12.9" customHeight="1">
      <c r="B485" s="15"/>
      <c r="C485" s="15"/>
      <c r="D485" s="15"/>
      <c r="AY485" s="14"/>
      <c r="AZ485" s="14"/>
      <c r="BA485" s="14"/>
    </row>
    <row r="486" spans="2:53" ht="12.9" customHeight="1">
      <c r="B486" s="15"/>
      <c r="C486" s="15"/>
      <c r="D486" s="15"/>
      <c r="AY486" s="14"/>
      <c r="AZ486" s="14"/>
      <c r="BA486" s="14"/>
    </row>
    <row r="487" spans="2:53" ht="12.9" customHeight="1">
      <c r="B487" s="15"/>
      <c r="C487" s="15"/>
      <c r="D487" s="15"/>
      <c r="AY487" s="14"/>
      <c r="AZ487" s="14"/>
      <c r="BA487" s="14"/>
    </row>
    <row r="488" spans="2:53" ht="12.9" customHeight="1">
      <c r="B488" s="15"/>
      <c r="C488" s="15"/>
      <c r="D488" s="15"/>
      <c r="AY488" s="14"/>
      <c r="AZ488" s="14"/>
      <c r="BA488" s="14"/>
    </row>
    <row r="489" spans="2:53" ht="12.9" customHeight="1">
      <c r="B489" s="15"/>
      <c r="C489" s="15"/>
      <c r="D489" s="15"/>
      <c r="AY489" s="14"/>
      <c r="AZ489" s="14"/>
      <c r="BA489" s="14"/>
    </row>
    <row r="490" spans="2:53" ht="12.9" customHeight="1">
      <c r="B490" s="15"/>
      <c r="C490" s="15"/>
      <c r="D490" s="15"/>
      <c r="AY490" s="14"/>
      <c r="AZ490" s="14"/>
      <c r="BA490" s="14"/>
    </row>
    <row r="491" spans="2:53" ht="12.9" customHeight="1">
      <c r="B491" s="15"/>
      <c r="C491" s="15"/>
      <c r="D491" s="15"/>
      <c r="AY491" s="14"/>
      <c r="AZ491" s="14"/>
      <c r="BA491" s="14"/>
    </row>
    <row r="492" spans="2:53" ht="12.9" customHeight="1">
      <c r="B492" s="15"/>
      <c r="C492" s="15"/>
      <c r="D492" s="15"/>
      <c r="AY492" s="14"/>
      <c r="AZ492" s="14"/>
      <c r="BA492" s="14"/>
    </row>
    <row r="493" spans="2:53" ht="12.9" customHeight="1">
      <c r="B493" s="15"/>
      <c r="C493" s="15"/>
      <c r="D493" s="15"/>
      <c r="AY493" s="14"/>
      <c r="AZ493" s="14"/>
      <c r="BA493" s="14"/>
    </row>
    <row r="494" spans="2:53" ht="12.9" customHeight="1">
      <c r="B494" s="15"/>
      <c r="C494" s="15"/>
      <c r="D494" s="15"/>
      <c r="AY494" s="14"/>
      <c r="AZ494" s="14"/>
      <c r="BA494" s="14"/>
    </row>
    <row r="495" spans="2:53" ht="12.9" customHeight="1">
      <c r="B495" s="15"/>
      <c r="C495" s="15"/>
      <c r="D495" s="15"/>
      <c r="AY495" s="14"/>
      <c r="AZ495" s="14"/>
      <c r="BA495" s="14"/>
    </row>
    <row r="496" spans="2:53" ht="12.9" customHeight="1">
      <c r="B496" s="15"/>
      <c r="C496" s="15"/>
      <c r="D496" s="15"/>
      <c r="AY496" s="14"/>
      <c r="AZ496" s="14"/>
      <c r="BA496" s="14"/>
    </row>
    <row r="497" spans="2:53" ht="12.9" customHeight="1">
      <c r="B497" s="15"/>
      <c r="C497" s="15"/>
      <c r="D497" s="15"/>
      <c r="AY497" s="14"/>
      <c r="AZ497" s="14"/>
      <c r="BA497" s="14"/>
    </row>
    <row r="498" spans="2:53" ht="12.9" customHeight="1">
      <c r="B498" s="15"/>
      <c r="C498" s="15"/>
      <c r="D498" s="15"/>
      <c r="AY498" s="14"/>
      <c r="AZ498" s="14"/>
      <c r="BA498" s="14"/>
    </row>
    <row r="499" spans="2:53" ht="12.9" customHeight="1">
      <c r="B499" s="15"/>
      <c r="C499" s="15"/>
      <c r="D499" s="15"/>
      <c r="AY499" s="14"/>
      <c r="AZ499" s="14"/>
      <c r="BA499" s="14"/>
    </row>
    <row r="500" spans="2:53" ht="12.9" customHeight="1">
      <c r="B500" s="15"/>
      <c r="C500" s="15"/>
      <c r="D500" s="15"/>
      <c r="AY500" s="14"/>
      <c r="AZ500" s="14"/>
      <c r="BA500" s="14"/>
    </row>
    <row r="501" spans="2:53" ht="12.9" customHeight="1">
      <c r="B501" s="15"/>
      <c r="C501" s="15"/>
      <c r="D501" s="15"/>
      <c r="AY501" s="14"/>
      <c r="AZ501" s="14"/>
      <c r="BA501" s="14"/>
    </row>
    <row r="502" spans="2:53" ht="12.9" customHeight="1">
      <c r="B502" s="15"/>
      <c r="C502" s="15"/>
      <c r="D502" s="15"/>
      <c r="AY502" s="14"/>
      <c r="AZ502" s="14"/>
      <c r="BA502" s="14"/>
    </row>
    <row r="503" spans="2:53" ht="12.9" customHeight="1">
      <c r="B503" s="15"/>
      <c r="C503" s="15"/>
      <c r="D503" s="15"/>
      <c r="AY503" s="14"/>
      <c r="AZ503" s="14"/>
      <c r="BA503" s="14"/>
    </row>
    <row r="504" spans="2:53" ht="12.9" customHeight="1">
      <c r="B504" s="15"/>
      <c r="C504" s="15"/>
      <c r="D504" s="15"/>
      <c r="AY504" s="14"/>
      <c r="AZ504" s="14"/>
      <c r="BA504" s="14"/>
    </row>
    <row r="505" spans="2:53" ht="12.9" customHeight="1">
      <c r="B505" s="15"/>
      <c r="C505" s="15"/>
      <c r="D505" s="15"/>
      <c r="AY505" s="14"/>
      <c r="AZ505" s="14"/>
      <c r="BA505" s="14"/>
    </row>
    <row r="506" spans="2:53" ht="12.9" customHeight="1">
      <c r="B506" s="15"/>
      <c r="C506" s="15"/>
      <c r="D506" s="15"/>
      <c r="AY506" s="14"/>
      <c r="AZ506" s="14"/>
      <c r="BA506" s="14"/>
    </row>
    <row r="507" spans="2:53" ht="12.9" customHeight="1">
      <c r="B507" s="15"/>
      <c r="C507" s="15"/>
      <c r="D507" s="15"/>
      <c r="AY507" s="14"/>
      <c r="AZ507" s="14"/>
      <c r="BA507" s="14"/>
    </row>
    <row r="508" spans="2:53" ht="12.9" customHeight="1">
      <c r="B508" s="15"/>
      <c r="C508" s="15"/>
      <c r="D508" s="15"/>
      <c r="AY508" s="14"/>
      <c r="AZ508" s="14"/>
      <c r="BA508" s="14"/>
    </row>
    <row r="509" spans="2:53" ht="12.9" customHeight="1">
      <c r="B509" s="15"/>
      <c r="C509" s="15"/>
      <c r="D509" s="15"/>
      <c r="AY509" s="14"/>
      <c r="AZ509" s="14"/>
      <c r="BA509" s="14"/>
    </row>
    <row r="510" spans="2:53" ht="12.9" customHeight="1">
      <c r="B510" s="15"/>
      <c r="C510" s="15"/>
      <c r="D510" s="15"/>
      <c r="AY510" s="14"/>
      <c r="AZ510" s="14"/>
      <c r="BA510" s="14"/>
    </row>
    <row r="511" spans="2:53" ht="12.9" customHeight="1">
      <c r="B511" s="15"/>
      <c r="C511" s="15"/>
      <c r="D511" s="15"/>
      <c r="AY511" s="14"/>
      <c r="AZ511" s="14"/>
      <c r="BA511" s="14"/>
    </row>
    <row r="512" spans="2:53" ht="12.9" customHeight="1">
      <c r="B512" s="15"/>
      <c r="C512" s="15"/>
      <c r="D512" s="15"/>
      <c r="AY512" s="14"/>
      <c r="AZ512" s="14"/>
      <c r="BA512" s="14"/>
    </row>
    <row r="513" spans="2:53" ht="12.9" customHeight="1">
      <c r="B513" s="15"/>
      <c r="C513" s="15"/>
      <c r="D513" s="15"/>
      <c r="AY513" s="14"/>
      <c r="AZ513" s="14"/>
      <c r="BA513" s="14"/>
    </row>
    <row r="514" spans="2:53" ht="12.9" customHeight="1">
      <c r="B514" s="15"/>
      <c r="C514" s="15"/>
      <c r="D514" s="15"/>
      <c r="AY514" s="14"/>
      <c r="AZ514" s="14"/>
      <c r="BA514" s="14"/>
    </row>
    <row r="515" spans="2:53" ht="12.9" customHeight="1">
      <c r="B515" s="15"/>
      <c r="C515" s="15"/>
      <c r="D515" s="15"/>
      <c r="AY515" s="14"/>
      <c r="AZ515" s="14"/>
      <c r="BA515" s="14"/>
    </row>
    <row r="516" spans="2:53" ht="12.9" customHeight="1">
      <c r="B516" s="15"/>
      <c r="C516" s="15"/>
      <c r="D516" s="15"/>
      <c r="AY516" s="14"/>
      <c r="AZ516" s="14"/>
      <c r="BA516" s="14"/>
    </row>
    <row r="517" spans="2:53" ht="12.9" customHeight="1">
      <c r="B517" s="15"/>
      <c r="C517" s="15"/>
      <c r="D517" s="15"/>
      <c r="AY517" s="14"/>
      <c r="AZ517" s="14"/>
      <c r="BA517" s="14"/>
    </row>
    <row r="518" spans="2:53" ht="12.9" customHeight="1">
      <c r="B518" s="15"/>
      <c r="C518" s="15"/>
      <c r="D518" s="15"/>
      <c r="AY518" s="14"/>
      <c r="AZ518" s="14"/>
      <c r="BA518" s="14"/>
    </row>
    <row r="519" spans="2:53" ht="12.9" customHeight="1">
      <c r="B519" s="15"/>
      <c r="C519" s="15"/>
      <c r="D519" s="15"/>
      <c r="AY519" s="14"/>
      <c r="AZ519" s="14"/>
      <c r="BA519" s="14"/>
    </row>
    <row r="520" spans="2:53" ht="12.9" customHeight="1">
      <c r="B520" s="15"/>
      <c r="C520" s="15"/>
      <c r="D520" s="15"/>
      <c r="AY520" s="14"/>
      <c r="AZ520" s="14"/>
      <c r="BA520" s="14"/>
    </row>
    <row r="521" spans="2:53" ht="12.9" customHeight="1">
      <c r="B521" s="15"/>
      <c r="C521" s="15"/>
      <c r="D521" s="15"/>
      <c r="AY521" s="14"/>
      <c r="AZ521" s="14"/>
      <c r="BA521" s="14"/>
    </row>
    <row r="522" spans="2:53" ht="12.9" customHeight="1">
      <c r="B522" s="15"/>
      <c r="C522" s="15"/>
      <c r="D522" s="15"/>
      <c r="AY522" s="14"/>
      <c r="AZ522" s="14"/>
      <c r="BA522" s="14"/>
    </row>
    <row r="523" spans="2:53" ht="12.9" customHeight="1">
      <c r="B523" s="15"/>
      <c r="C523" s="15"/>
      <c r="D523" s="15"/>
      <c r="AY523" s="14"/>
      <c r="AZ523" s="14"/>
      <c r="BA523" s="14"/>
    </row>
    <row r="524" spans="2:53" ht="12.9" customHeight="1">
      <c r="B524" s="15"/>
      <c r="C524" s="15"/>
      <c r="D524" s="15"/>
      <c r="AY524" s="14"/>
      <c r="AZ524" s="14"/>
      <c r="BA524" s="14"/>
    </row>
    <row r="525" spans="2:53" ht="12.9" customHeight="1">
      <c r="B525" s="15"/>
      <c r="C525" s="15"/>
      <c r="D525" s="15"/>
      <c r="AY525" s="14"/>
      <c r="AZ525" s="14"/>
      <c r="BA525" s="14"/>
    </row>
    <row r="526" spans="2:53" ht="12.9" customHeight="1">
      <c r="B526" s="15"/>
      <c r="C526" s="15"/>
      <c r="D526" s="15"/>
      <c r="AY526" s="14"/>
      <c r="AZ526" s="14"/>
      <c r="BA526" s="14"/>
    </row>
    <row r="527" spans="2:53" ht="12.9" customHeight="1">
      <c r="B527" s="15"/>
      <c r="C527" s="15"/>
      <c r="D527" s="15"/>
      <c r="AY527" s="14"/>
      <c r="AZ527" s="14"/>
      <c r="BA527" s="14"/>
    </row>
    <row r="528" spans="2:53" ht="12.9" customHeight="1">
      <c r="B528" s="15"/>
      <c r="C528" s="15"/>
      <c r="D528" s="15"/>
      <c r="AY528" s="14"/>
      <c r="AZ528" s="14"/>
      <c r="BA528" s="14"/>
    </row>
    <row r="529" spans="2:53" ht="12.9" customHeight="1">
      <c r="B529" s="15"/>
      <c r="C529" s="15"/>
      <c r="D529" s="15"/>
      <c r="AY529" s="14"/>
      <c r="AZ529" s="14"/>
      <c r="BA529" s="14"/>
    </row>
    <row r="530" spans="2:53" ht="12.9" customHeight="1">
      <c r="B530" s="15"/>
      <c r="C530" s="15"/>
      <c r="D530" s="15"/>
      <c r="AY530" s="14"/>
      <c r="AZ530" s="14"/>
      <c r="BA530" s="14"/>
    </row>
    <row r="531" spans="2:53" ht="12.9" customHeight="1">
      <c r="B531" s="15"/>
      <c r="C531" s="15"/>
      <c r="D531" s="15"/>
      <c r="AY531" s="14"/>
      <c r="AZ531" s="14"/>
      <c r="BA531" s="14"/>
    </row>
    <row r="532" spans="2:53" ht="12.9" customHeight="1">
      <c r="B532" s="15"/>
      <c r="C532" s="15"/>
      <c r="D532" s="15"/>
      <c r="AY532" s="14"/>
      <c r="AZ532" s="14"/>
      <c r="BA532" s="14"/>
    </row>
    <row r="533" spans="2:53" ht="12.9" customHeight="1">
      <c r="B533" s="15"/>
      <c r="C533" s="15"/>
      <c r="D533" s="15"/>
      <c r="AY533" s="14"/>
      <c r="AZ533" s="14"/>
      <c r="BA533" s="14"/>
    </row>
    <row r="534" spans="2:53" ht="12.9" customHeight="1">
      <c r="B534" s="15"/>
      <c r="C534" s="15"/>
      <c r="D534" s="15"/>
      <c r="AY534" s="14"/>
      <c r="AZ534" s="14"/>
      <c r="BA534" s="14"/>
    </row>
    <row r="535" spans="2:53" ht="12.9" customHeight="1">
      <c r="B535" s="15"/>
      <c r="C535" s="15"/>
      <c r="D535" s="15"/>
      <c r="AY535" s="14"/>
      <c r="AZ535" s="14"/>
      <c r="BA535" s="14"/>
    </row>
    <row r="536" spans="2:53" ht="12.9" customHeight="1">
      <c r="B536" s="15"/>
      <c r="C536" s="15"/>
      <c r="D536" s="15"/>
      <c r="AY536" s="14"/>
      <c r="AZ536" s="14"/>
      <c r="BA536" s="14"/>
    </row>
    <row r="537" spans="2:53" ht="12.9" customHeight="1">
      <c r="B537" s="15"/>
      <c r="C537" s="15"/>
      <c r="D537" s="15"/>
      <c r="AY537" s="14"/>
      <c r="AZ537" s="14"/>
      <c r="BA537" s="14"/>
    </row>
    <row r="538" spans="2:53" ht="12.9" customHeight="1">
      <c r="B538" s="15"/>
      <c r="C538" s="15"/>
      <c r="D538" s="15"/>
      <c r="AY538" s="14"/>
      <c r="AZ538" s="14"/>
      <c r="BA538" s="14"/>
    </row>
    <row r="539" spans="2:53" ht="12.9" customHeight="1">
      <c r="B539" s="15"/>
      <c r="C539" s="15"/>
      <c r="D539" s="15"/>
      <c r="AY539" s="14"/>
      <c r="AZ539" s="14"/>
      <c r="BA539" s="14"/>
    </row>
    <row r="540" spans="2:53" ht="12.9" customHeight="1">
      <c r="B540" s="15"/>
      <c r="C540" s="15"/>
      <c r="D540" s="15"/>
      <c r="AY540" s="14"/>
      <c r="AZ540" s="14"/>
      <c r="BA540" s="14"/>
    </row>
    <row r="541" spans="2:53" ht="12.9" customHeight="1">
      <c r="B541" s="15"/>
      <c r="C541" s="15"/>
      <c r="D541" s="15"/>
      <c r="AY541" s="14"/>
      <c r="AZ541" s="14"/>
      <c r="BA541" s="14"/>
    </row>
    <row r="542" spans="2:53" ht="12.9" customHeight="1">
      <c r="B542" s="15"/>
      <c r="C542" s="15"/>
      <c r="D542" s="15"/>
      <c r="AY542" s="14"/>
      <c r="AZ542" s="14"/>
      <c r="BA542" s="14"/>
    </row>
    <row r="543" spans="2:53" ht="12.9" customHeight="1">
      <c r="B543" s="15"/>
      <c r="C543" s="15"/>
      <c r="D543" s="15"/>
      <c r="AY543" s="14"/>
      <c r="AZ543" s="14"/>
      <c r="BA543" s="14"/>
    </row>
    <row r="544" spans="2:53" ht="12.9" customHeight="1">
      <c r="B544" s="15"/>
      <c r="C544" s="15"/>
      <c r="D544" s="15"/>
      <c r="AY544" s="14"/>
      <c r="AZ544" s="14"/>
      <c r="BA544" s="14"/>
    </row>
    <row r="545" spans="2:53" ht="12.9" customHeight="1">
      <c r="B545" s="15"/>
      <c r="C545" s="15"/>
      <c r="D545" s="15"/>
      <c r="AY545" s="14"/>
      <c r="AZ545" s="14"/>
      <c r="BA545" s="14"/>
    </row>
    <row r="546" spans="2:53" ht="12.9" customHeight="1">
      <c r="B546" s="15"/>
      <c r="C546" s="15"/>
      <c r="D546" s="15"/>
      <c r="AY546" s="14"/>
      <c r="AZ546" s="14"/>
      <c r="BA546" s="14"/>
    </row>
    <row r="547" spans="2:53" ht="12.9" customHeight="1">
      <c r="B547" s="15"/>
      <c r="C547" s="15"/>
      <c r="D547" s="15"/>
      <c r="AY547" s="14"/>
      <c r="AZ547" s="14"/>
      <c r="BA547" s="14"/>
    </row>
    <row r="548" spans="2:53" ht="12.9" customHeight="1">
      <c r="B548" s="15"/>
      <c r="C548" s="15"/>
      <c r="D548" s="15"/>
      <c r="AY548" s="14"/>
      <c r="AZ548" s="14"/>
      <c r="BA548" s="14"/>
    </row>
    <row r="549" spans="2:53" ht="12.9" customHeight="1">
      <c r="B549" s="15"/>
      <c r="C549" s="15"/>
      <c r="D549" s="15"/>
      <c r="AY549" s="14"/>
      <c r="AZ549" s="14"/>
      <c r="BA549" s="14"/>
    </row>
    <row r="550" spans="2:53" ht="12.9" customHeight="1">
      <c r="B550" s="15"/>
      <c r="C550" s="15"/>
      <c r="D550" s="15"/>
      <c r="AY550" s="14"/>
      <c r="AZ550" s="14"/>
      <c r="BA550" s="14"/>
    </row>
    <row r="551" spans="2:53" ht="12.9" customHeight="1">
      <c r="B551" s="15"/>
      <c r="C551" s="15"/>
      <c r="D551" s="15"/>
      <c r="AY551" s="14"/>
      <c r="AZ551" s="14"/>
      <c r="BA551" s="14"/>
    </row>
    <row r="552" spans="2:53" ht="12.9" customHeight="1">
      <c r="B552" s="15"/>
      <c r="C552" s="15"/>
      <c r="D552" s="15"/>
      <c r="AY552" s="14"/>
      <c r="AZ552" s="14"/>
      <c r="BA552" s="14"/>
    </row>
    <row r="553" spans="2:53" ht="12.9" customHeight="1">
      <c r="B553" s="15"/>
      <c r="C553" s="15"/>
      <c r="D553" s="15"/>
      <c r="AY553" s="14"/>
      <c r="AZ553" s="14"/>
      <c r="BA553" s="14"/>
    </row>
    <row r="554" spans="2:53" ht="12.9" customHeight="1">
      <c r="B554" s="15"/>
      <c r="C554" s="15"/>
      <c r="D554" s="15"/>
      <c r="AY554" s="14"/>
      <c r="AZ554" s="14"/>
      <c r="BA554" s="14"/>
    </row>
    <row r="555" spans="2:53" ht="12.9" customHeight="1">
      <c r="B555" s="15"/>
      <c r="C555" s="15"/>
      <c r="D555" s="15"/>
      <c r="AY555" s="14"/>
      <c r="AZ555" s="14"/>
      <c r="BA555" s="14"/>
    </row>
    <row r="556" spans="2:53" ht="12.9" customHeight="1">
      <c r="B556" s="15"/>
      <c r="C556" s="15"/>
      <c r="D556" s="15"/>
      <c r="AY556" s="14"/>
      <c r="AZ556" s="14"/>
      <c r="BA556" s="14"/>
    </row>
    <row r="557" spans="2:53" ht="12.9" customHeight="1">
      <c r="B557" s="15"/>
      <c r="C557" s="15"/>
      <c r="D557" s="15"/>
      <c r="AY557" s="14"/>
      <c r="AZ557" s="14"/>
      <c r="BA557" s="14"/>
    </row>
    <row r="558" spans="2:53" ht="12.9" customHeight="1">
      <c r="B558" s="15"/>
      <c r="C558" s="15"/>
      <c r="D558" s="15"/>
      <c r="AY558" s="14"/>
      <c r="AZ558" s="14"/>
      <c r="BA558" s="14"/>
    </row>
    <row r="559" spans="2:53" ht="12.9" customHeight="1">
      <c r="B559" s="15"/>
      <c r="C559" s="15"/>
      <c r="D559" s="15"/>
      <c r="AY559" s="14"/>
      <c r="AZ559" s="14"/>
      <c r="BA559" s="14"/>
    </row>
    <row r="560" spans="2:53" ht="12.9" customHeight="1">
      <c r="B560" s="15"/>
      <c r="C560" s="15"/>
      <c r="D560" s="15"/>
      <c r="AY560" s="14"/>
      <c r="AZ560" s="14"/>
      <c r="BA560" s="14"/>
    </row>
    <row r="561" spans="2:53" ht="12.9" customHeight="1">
      <c r="B561" s="15"/>
      <c r="C561" s="15"/>
      <c r="D561" s="15"/>
      <c r="AY561" s="14"/>
      <c r="AZ561" s="14"/>
      <c r="BA561" s="14"/>
    </row>
    <row r="562" spans="2:53" ht="12.9" customHeight="1">
      <c r="B562" s="15"/>
      <c r="C562" s="15"/>
      <c r="D562" s="15"/>
      <c r="AY562" s="14"/>
      <c r="AZ562" s="14"/>
      <c r="BA562" s="14"/>
    </row>
    <row r="563" spans="2:53" ht="12.9" customHeight="1">
      <c r="B563" s="15"/>
      <c r="C563" s="15"/>
      <c r="D563" s="15"/>
      <c r="AY563" s="14"/>
      <c r="AZ563" s="14"/>
      <c r="BA563" s="14"/>
    </row>
  </sheetData>
  <sheetProtection algorithmName="SHA-512" hashValue="uMw6i0IG3xTQqlA2Xu5F1OtZDf44KFCXa44LaXu4xI78xubJBXrn06fZjG+ES2g4ztCXDDk8EjoAkT6FtC2gUQ==" saltValue="vPC8NVQ/bPym/a4cwKuqbw==" spinCount="100000" sheet="1" objects="1" scenarios="1" formatCells="0"/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3"/>
  <sheetViews>
    <sheetView topLeftCell="A37" workbookViewId="0">
      <selection activeCell="D53" sqref="D53"/>
    </sheetView>
  </sheetViews>
  <sheetFormatPr defaultColWidth="9.1796875" defaultRowHeight="14.5"/>
  <cols>
    <col min="1" max="1" width="2.81640625" bestFit="1" customWidth="1"/>
    <col min="2" max="2" width="2.81640625" customWidth="1"/>
    <col min="3" max="3" width="14.36328125" style="126" customWidth="1"/>
    <col min="4" max="4" width="12.36328125" style="116" customWidth="1"/>
    <col min="5" max="5" width="49" style="126" customWidth="1"/>
    <col min="6" max="6" width="17.1796875" bestFit="1" customWidth="1"/>
    <col min="7" max="7" width="11.36328125" customWidth="1"/>
    <col min="8" max="8" width="10.81640625" customWidth="1"/>
    <col min="9" max="9" width="11.54296875" customWidth="1"/>
    <col min="10" max="10" width="11.54296875" style="106" customWidth="1"/>
    <col min="12" max="12" width="2.81640625" style="106" customWidth="1"/>
    <col min="13" max="13" width="14.26953125" style="128" customWidth="1"/>
    <col min="14" max="14" width="10.7265625" style="128" customWidth="1"/>
    <col min="15" max="15" width="12.7265625" style="128" customWidth="1"/>
    <col min="16" max="16" width="9.54296875" style="128" customWidth="1"/>
    <col min="17" max="17" width="4.81640625" style="128" customWidth="1"/>
    <col min="18" max="18" width="11.81640625" style="128" customWidth="1"/>
    <col min="19" max="20" width="9.26953125" style="128"/>
    <col min="21" max="21" width="9.26953125" style="106"/>
  </cols>
  <sheetData>
    <row r="1" spans="1:21" ht="39.5" thickBot="1">
      <c r="A1" s="244" t="s">
        <v>530</v>
      </c>
      <c r="B1" s="245"/>
      <c r="C1" s="246"/>
      <c r="D1" s="114" t="s">
        <v>560</v>
      </c>
      <c r="E1" s="125" t="s">
        <v>561</v>
      </c>
      <c r="F1" s="133" t="s">
        <v>562</v>
      </c>
      <c r="G1" s="134" t="s">
        <v>563</v>
      </c>
      <c r="H1" s="135" t="s">
        <v>557</v>
      </c>
      <c r="I1" s="135" t="s">
        <v>551</v>
      </c>
      <c r="J1" s="135" t="s">
        <v>558</v>
      </c>
      <c r="K1" s="121" t="s">
        <v>550</v>
      </c>
      <c r="L1" s="124"/>
      <c r="M1" s="190" t="s">
        <v>554</v>
      </c>
      <c r="N1" s="190" t="s">
        <v>553</v>
      </c>
      <c r="O1" s="190" t="s">
        <v>552</v>
      </c>
      <c r="P1" s="188" t="s">
        <v>555</v>
      </c>
      <c r="Q1" s="127"/>
      <c r="R1" s="194" t="s">
        <v>572</v>
      </c>
      <c r="S1" s="196" t="s">
        <v>573</v>
      </c>
      <c r="T1" s="196" t="s">
        <v>574</v>
      </c>
      <c r="U1" s="194" t="s">
        <v>571</v>
      </c>
    </row>
    <row r="2" spans="1:21" ht="14.15" customHeight="1">
      <c r="A2" s="231" t="s">
        <v>2</v>
      </c>
      <c r="B2" s="240" t="s">
        <v>379</v>
      </c>
      <c r="C2" s="234" t="s">
        <v>4</v>
      </c>
      <c r="D2" s="115">
        <v>1</v>
      </c>
      <c r="E2" s="105" t="s">
        <v>449</v>
      </c>
      <c r="F2" s="136" t="s">
        <v>548</v>
      </c>
      <c r="G2" s="137">
        <v>1</v>
      </c>
      <c r="H2" s="138">
        <v>5</v>
      </c>
      <c r="I2" s="138">
        <v>5</v>
      </c>
      <c r="J2" s="139">
        <v>10</v>
      </c>
      <c r="K2" s="122"/>
      <c r="M2" s="191" t="s">
        <v>473</v>
      </c>
      <c r="N2" s="191">
        <v>5</v>
      </c>
      <c r="O2" s="191">
        <v>1</v>
      </c>
      <c r="P2" s="189">
        <v>5</v>
      </c>
      <c r="R2" s="191">
        <v>1</v>
      </c>
      <c r="S2" s="191">
        <v>0</v>
      </c>
      <c r="T2" s="191">
        <v>50</v>
      </c>
      <c r="U2" s="197" t="s">
        <v>575</v>
      </c>
    </row>
    <row r="3" spans="1:21">
      <c r="A3" s="232"/>
      <c r="B3" s="240"/>
      <c r="C3" s="235"/>
      <c r="D3" s="117">
        <v>2</v>
      </c>
      <c r="E3" s="107" t="s">
        <v>407</v>
      </c>
      <c r="F3" s="140" t="s">
        <v>548</v>
      </c>
      <c r="G3" s="141">
        <v>1</v>
      </c>
      <c r="H3" s="142">
        <v>5</v>
      </c>
      <c r="I3" s="142">
        <v>5</v>
      </c>
      <c r="J3" s="143">
        <v>10</v>
      </c>
      <c r="K3" s="122"/>
      <c r="M3" s="191" t="s">
        <v>556</v>
      </c>
      <c r="N3" s="191">
        <v>2</v>
      </c>
      <c r="O3" s="191">
        <v>2</v>
      </c>
      <c r="P3" s="189">
        <v>4</v>
      </c>
      <c r="R3" s="191">
        <v>2</v>
      </c>
      <c r="S3" s="191">
        <v>51</v>
      </c>
      <c r="T3" s="191">
        <v>79</v>
      </c>
      <c r="U3" s="197" t="s">
        <v>576</v>
      </c>
    </row>
    <row r="4" spans="1:21" ht="15" thickBot="1">
      <c r="A4" s="232"/>
      <c r="B4" s="240"/>
      <c r="C4" s="236"/>
      <c r="D4" s="118">
        <v>3</v>
      </c>
      <c r="E4" s="108" t="s">
        <v>408</v>
      </c>
      <c r="F4" s="144" t="s">
        <v>549</v>
      </c>
      <c r="G4" s="145">
        <v>2</v>
      </c>
      <c r="H4" s="146">
        <v>2</v>
      </c>
      <c r="I4" s="146">
        <v>4</v>
      </c>
      <c r="J4" s="147">
        <v>6</v>
      </c>
      <c r="K4" s="122"/>
      <c r="M4" s="191"/>
      <c r="N4" s="191"/>
      <c r="O4" s="191">
        <v>3</v>
      </c>
      <c r="P4" s="192">
        <v>3</v>
      </c>
      <c r="Q4" s="129"/>
      <c r="R4" s="195">
        <v>3</v>
      </c>
      <c r="S4" s="198">
        <v>80</v>
      </c>
      <c r="T4" s="198">
        <v>100</v>
      </c>
      <c r="U4" s="199" t="s">
        <v>577</v>
      </c>
    </row>
    <row r="5" spans="1:21" ht="14.15" customHeight="1">
      <c r="A5" s="232"/>
      <c r="B5" s="240" t="s">
        <v>380</v>
      </c>
      <c r="C5" s="234" t="s">
        <v>450</v>
      </c>
      <c r="D5" s="115">
        <v>4</v>
      </c>
      <c r="E5" s="105" t="s">
        <v>409</v>
      </c>
      <c r="F5" s="136" t="s">
        <v>548</v>
      </c>
      <c r="G5" s="137">
        <v>1</v>
      </c>
      <c r="H5" s="138">
        <v>5</v>
      </c>
      <c r="I5" s="138">
        <v>5</v>
      </c>
      <c r="J5" s="139">
        <v>10</v>
      </c>
      <c r="K5" s="122"/>
      <c r="P5" s="193"/>
      <c r="Q5" s="130"/>
      <c r="R5" s="187"/>
    </row>
    <row r="6" spans="1:21">
      <c r="A6" s="232"/>
      <c r="B6" s="240"/>
      <c r="C6" s="235"/>
      <c r="D6" s="117">
        <v>5</v>
      </c>
      <c r="E6" s="107" t="s">
        <v>412</v>
      </c>
      <c r="F6" s="140" t="s">
        <v>548</v>
      </c>
      <c r="G6" s="141">
        <v>1</v>
      </c>
      <c r="H6" s="142">
        <v>5</v>
      </c>
      <c r="I6" s="142">
        <v>5</v>
      </c>
      <c r="J6" s="143">
        <v>10</v>
      </c>
      <c r="K6" s="122"/>
      <c r="R6" s="200" t="s">
        <v>578</v>
      </c>
    </row>
    <row r="7" spans="1:21">
      <c r="A7" s="232"/>
      <c r="B7" s="240"/>
      <c r="C7" s="235"/>
      <c r="D7" s="117">
        <v>6</v>
      </c>
      <c r="E7" s="107" t="s">
        <v>411</v>
      </c>
      <c r="F7" s="140" t="s">
        <v>548</v>
      </c>
      <c r="G7" s="141">
        <v>2</v>
      </c>
      <c r="H7" s="142">
        <v>5</v>
      </c>
      <c r="I7" s="142">
        <v>4</v>
      </c>
      <c r="J7" s="143">
        <v>9</v>
      </c>
      <c r="K7" s="122"/>
      <c r="R7" s="200"/>
    </row>
    <row r="8" spans="1:21">
      <c r="A8" s="232"/>
      <c r="B8" s="240"/>
      <c r="C8" s="235"/>
      <c r="D8" s="117">
        <v>7</v>
      </c>
      <c r="E8" s="107" t="s">
        <v>410</v>
      </c>
      <c r="F8" s="140" t="s">
        <v>548</v>
      </c>
      <c r="G8" s="141">
        <v>2</v>
      </c>
      <c r="H8" s="142">
        <v>5</v>
      </c>
      <c r="I8" s="142">
        <v>4</v>
      </c>
      <c r="J8" s="143">
        <v>9</v>
      </c>
      <c r="K8" s="122"/>
      <c r="R8" s="200"/>
    </row>
    <row r="9" spans="1:21" ht="15" thickBot="1">
      <c r="A9" s="232"/>
      <c r="B9" s="240"/>
      <c r="C9" s="236"/>
      <c r="D9" s="118">
        <v>8</v>
      </c>
      <c r="E9" s="108" t="s">
        <v>414</v>
      </c>
      <c r="F9" s="144" t="s">
        <v>549</v>
      </c>
      <c r="G9" s="145">
        <v>3</v>
      </c>
      <c r="H9" s="146">
        <v>2</v>
      </c>
      <c r="I9" s="146">
        <v>3</v>
      </c>
      <c r="J9" s="147">
        <v>5</v>
      </c>
      <c r="K9" s="122"/>
      <c r="R9" s="200"/>
    </row>
    <row r="10" spans="1:21" ht="14.15" customHeight="1">
      <c r="A10" s="232"/>
      <c r="B10" s="240" t="s">
        <v>381</v>
      </c>
      <c r="C10" s="234" t="s">
        <v>451</v>
      </c>
      <c r="D10" s="115">
        <v>9</v>
      </c>
      <c r="E10" s="105" t="s">
        <v>413</v>
      </c>
      <c r="F10" s="136" t="s">
        <v>548</v>
      </c>
      <c r="G10" s="137">
        <v>1</v>
      </c>
      <c r="H10" s="138">
        <v>5</v>
      </c>
      <c r="I10" s="138">
        <v>5</v>
      </c>
      <c r="J10" s="139">
        <v>10</v>
      </c>
      <c r="K10" s="122"/>
      <c r="R10" s="200"/>
    </row>
    <row r="11" spans="1:21">
      <c r="A11" s="232"/>
      <c r="B11" s="240"/>
      <c r="C11" s="235"/>
      <c r="D11" s="117">
        <v>10</v>
      </c>
      <c r="E11" s="107" t="s">
        <v>419</v>
      </c>
      <c r="F11" s="140" t="s">
        <v>549</v>
      </c>
      <c r="G11" s="141">
        <v>2</v>
      </c>
      <c r="H11" s="142">
        <v>2</v>
      </c>
      <c r="I11" s="142">
        <v>4</v>
      </c>
      <c r="J11" s="143">
        <v>6</v>
      </c>
      <c r="K11" s="122"/>
      <c r="R11" s="200"/>
    </row>
    <row r="12" spans="1:21">
      <c r="A12" s="232"/>
      <c r="B12" s="240"/>
      <c r="C12" s="235"/>
      <c r="D12" s="117">
        <v>11</v>
      </c>
      <c r="E12" s="107" t="s">
        <v>444</v>
      </c>
      <c r="F12" s="140" t="s">
        <v>549</v>
      </c>
      <c r="G12" s="141">
        <v>3</v>
      </c>
      <c r="H12" s="142">
        <v>2</v>
      </c>
      <c r="I12" s="142">
        <v>3</v>
      </c>
      <c r="J12" s="143">
        <v>5</v>
      </c>
      <c r="K12" s="122"/>
      <c r="R12" s="200"/>
    </row>
    <row r="13" spans="1:21">
      <c r="A13" s="232"/>
      <c r="B13" s="240"/>
      <c r="C13" s="235"/>
      <c r="D13" s="117">
        <v>12</v>
      </c>
      <c r="E13" s="107" t="s">
        <v>445</v>
      </c>
      <c r="F13" s="140" t="s">
        <v>549</v>
      </c>
      <c r="G13" s="141">
        <v>3</v>
      </c>
      <c r="H13" s="142">
        <v>2</v>
      </c>
      <c r="I13" s="142">
        <v>3</v>
      </c>
      <c r="J13" s="143">
        <v>5</v>
      </c>
      <c r="K13" s="122"/>
      <c r="R13" s="200"/>
    </row>
    <row r="14" spans="1:21">
      <c r="A14" s="232"/>
      <c r="B14" s="240"/>
      <c r="C14" s="235"/>
      <c r="D14" s="117">
        <v>13</v>
      </c>
      <c r="E14" s="109" t="s">
        <v>446</v>
      </c>
      <c r="F14" s="140" t="s">
        <v>549</v>
      </c>
      <c r="G14" s="141">
        <v>2</v>
      </c>
      <c r="H14" s="142">
        <v>2</v>
      </c>
      <c r="I14" s="142">
        <v>4</v>
      </c>
      <c r="J14" s="143">
        <v>6</v>
      </c>
      <c r="K14" s="122"/>
      <c r="R14" s="200"/>
    </row>
    <row r="15" spans="1:21" ht="15" thickBot="1">
      <c r="A15" s="232"/>
      <c r="B15" s="240"/>
      <c r="C15" s="236"/>
      <c r="D15" s="118">
        <v>14</v>
      </c>
      <c r="E15" s="110" t="s">
        <v>447</v>
      </c>
      <c r="F15" s="144" t="s">
        <v>549</v>
      </c>
      <c r="G15" s="145">
        <v>2</v>
      </c>
      <c r="H15" s="146">
        <v>2</v>
      </c>
      <c r="I15" s="146">
        <v>4</v>
      </c>
      <c r="J15" s="147">
        <v>6</v>
      </c>
      <c r="K15" s="122"/>
      <c r="R15" s="200"/>
    </row>
    <row r="16" spans="1:21" ht="24.5" thickBot="1">
      <c r="A16" s="233"/>
      <c r="B16" s="42" t="s">
        <v>382</v>
      </c>
      <c r="C16" s="111" t="s">
        <v>5</v>
      </c>
      <c r="D16" s="119">
        <v>15</v>
      </c>
      <c r="E16" s="112" t="s">
        <v>420</v>
      </c>
      <c r="F16" s="148" t="s">
        <v>549</v>
      </c>
      <c r="G16" s="149">
        <v>1</v>
      </c>
      <c r="H16" s="150">
        <v>2</v>
      </c>
      <c r="I16" s="150">
        <v>5</v>
      </c>
      <c r="J16" s="151">
        <v>7</v>
      </c>
      <c r="K16" s="122"/>
      <c r="P16" s="132"/>
      <c r="Q16" s="132"/>
    </row>
    <row r="17" spans="1:18" ht="14.15" customHeight="1">
      <c r="A17" s="237" t="s">
        <v>7</v>
      </c>
      <c r="B17" s="247" t="s">
        <v>383</v>
      </c>
      <c r="C17" s="234" t="s">
        <v>8</v>
      </c>
      <c r="D17" s="115">
        <v>16</v>
      </c>
      <c r="E17" s="105" t="s">
        <v>409</v>
      </c>
      <c r="F17" s="136" t="s">
        <v>548</v>
      </c>
      <c r="G17" s="137">
        <v>1</v>
      </c>
      <c r="H17" s="138">
        <v>5</v>
      </c>
      <c r="I17" s="138">
        <v>5</v>
      </c>
      <c r="J17" s="139">
        <v>10</v>
      </c>
      <c r="K17" s="122"/>
      <c r="P17" s="131"/>
      <c r="Q17" s="132"/>
    </row>
    <row r="18" spans="1:18">
      <c r="A18" s="238"/>
      <c r="B18" s="240"/>
      <c r="C18" s="235"/>
      <c r="D18" s="117">
        <v>17</v>
      </c>
      <c r="E18" s="107" t="s">
        <v>415</v>
      </c>
      <c r="F18" s="140" t="s">
        <v>548</v>
      </c>
      <c r="G18" s="141">
        <v>1</v>
      </c>
      <c r="H18" s="142">
        <v>5</v>
      </c>
      <c r="I18" s="142">
        <v>5</v>
      </c>
      <c r="J18" s="143">
        <v>10</v>
      </c>
      <c r="K18" s="122"/>
      <c r="P18" s="130"/>
      <c r="Q18" s="130"/>
      <c r="R18" s="187"/>
    </row>
    <row r="19" spans="1:18">
      <c r="A19" s="238"/>
      <c r="B19" s="240"/>
      <c r="C19" s="235"/>
      <c r="D19" s="117">
        <v>18</v>
      </c>
      <c r="E19" s="107" t="s">
        <v>416</v>
      </c>
      <c r="F19" s="140" t="s">
        <v>548</v>
      </c>
      <c r="G19" s="141">
        <v>1</v>
      </c>
      <c r="H19" s="142">
        <v>5</v>
      </c>
      <c r="I19" s="142">
        <v>5</v>
      </c>
      <c r="J19" s="143">
        <v>10</v>
      </c>
      <c r="K19" s="122"/>
      <c r="P19" s="132"/>
      <c r="R19" s="200"/>
    </row>
    <row r="20" spans="1:18">
      <c r="A20" s="238"/>
      <c r="B20" s="240"/>
      <c r="C20" s="235"/>
      <c r="D20" s="117">
        <v>19</v>
      </c>
      <c r="E20" s="107" t="s">
        <v>417</v>
      </c>
      <c r="F20" s="140" t="s">
        <v>548</v>
      </c>
      <c r="G20" s="141">
        <v>1</v>
      </c>
      <c r="H20" s="142">
        <v>5</v>
      </c>
      <c r="I20" s="142">
        <v>5</v>
      </c>
      <c r="J20" s="143">
        <v>10</v>
      </c>
      <c r="K20" s="122"/>
      <c r="P20" s="132"/>
      <c r="R20" s="200"/>
    </row>
    <row r="21" spans="1:18" ht="24">
      <c r="A21" s="238"/>
      <c r="B21" s="240"/>
      <c r="C21" s="235"/>
      <c r="D21" s="117">
        <v>201</v>
      </c>
      <c r="E21" s="107" t="s">
        <v>438</v>
      </c>
      <c r="F21" s="140" t="s">
        <v>549</v>
      </c>
      <c r="G21" s="141">
        <v>2</v>
      </c>
      <c r="H21" s="142">
        <v>2</v>
      </c>
      <c r="I21" s="142">
        <v>4</v>
      </c>
      <c r="J21" s="143">
        <v>6</v>
      </c>
      <c r="K21" s="122"/>
      <c r="P21" s="132"/>
      <c r="R21" s="200"/>
    </row>
    <row r="22" spans="1:18">
      <c r="A22" s="238"/>
      <c r="B22" s="240"/>
      <c r="C22" s="235"/>
      <c r="D22" s="117">
        <v>202</v>
      </c>
      <c r="E22" s="107" t="s">
        <v>439</v>
      </c>
      <c r="F22" s="140" t="s">
        <v>549</v>
      </c>
      <c r="G22" s="141">
        <v>2</v>
      </c>
      <c r="H22" s="142">
        <v>2</v>
      </c>
      <c r="I22" s="142">
        <v>4</v>
      </c>
      <c r="J22" s="143">
        <v>6</v>
      </c>
      <c r="K22" s="122"/>
      <c r="Q22" s="132"/>
    </row>
    <row r="23" spans="1:18">
      <c r="A23" s="238"/>
      <c r="B23" s="240"/>
      <c r="C23" s="235"/>
      <c r="D23" s="117">
        <v>203</v>
      </c>
      <c r="E23" s="107" t="s">
        <v>440</v>
      </c>
      <c r="F23" s="140" t="s">
        <v>549</v>
      </c>
      <c r="G23" s="141">
        <v>2</v>
      </c>
      <c r="H23" s="142">
        <v>2</v>
      </c>
      <c r="I23" s="142">
        <v>4</v>
      </c>
      <c r="J23" s="143">
        <v>6</v>
      </c>
      <c r="K23" s="122"/>
      <c r="P23" s="230"/>
      <c r="Q23" s="230"/>
      <c r="R23" s="230"/>
    </row>
    <row r="24" spans="1:18" ht="24">
      <c r="A24" s="238"/>
      <c r="B24" s="240"/>
      <c r="C24" s="235"/>
      <c r="D24" s="117">
        <v>204</v>
      </c>
      <c r="E24" s="107" t="s">
        <v>441</v>
      </c>
      <c r="F24" s="140" t="s">
        <v>549</v>
      </c>
      <c r="G24" s="141">
        <v>2</v>
      </c>
      <c r="H24" s="142">
        <v>2</v>
      </c>
      <c r="I24" s="142">
        <v>4</v>
      </c>
      <c r="J24" s="143">
        <v>6</v>
      </c>
      <c r="K24" s="122"/>
      <c r="P24" s="130"/>
      <c r="Q24" s="130"/>
      <c r="R24" s="187"/>
    </row>
    <row r="25" spans="1:18" ht="24">
      <c r="A25" s="238"/>
      <c r="B25" s="240"/>
      <c r="C25" s="235"/>
      <c r="D25" s="117">
        <v>205</v>
      </c>
      <c r="E25" s="107" t="s">
        <v>442</v>
      </c>
      <c r="F25" s="140" t="s">
        <v>549</v>
      </c>
      <c r="G25" s="141">
        <v>2</v>
      </c>
      <c r="H25" s="142">
        <v>2</v>
      </c>
      <c r="I25" s="142">
        <v>4</v>
      </c>
      <c r="J25" s="143">
        <v>6</v>
      </c>
      <c r="K25" s="122"/>
      <c r="P25" s="132"/>
      <c r="Q25" s="132"/>
      <c r="R25" s="200"/>
    </row>
    <row r="26" spans="1:18">
      <c r="A26" s="238"/>
      <c r="B26" s="240"/>
      <c r="C26" s="235"/>
      <c r="D26" s="117">
        <v>206</v>
      </c>
      <c r="E26" s="107" t="s">
        <v>443</v>
      </c>
      <c r="F26" s="140" t="s">
        <v>549</v>
      </c>
      <c r="G26" s="141">
        <v>2</v>
      </c>
      <c r="H26" s="142">
        <v>2</v>
      </c>
      <c r="I26" s="142">
        <v>4</v>
      </c>
      <c r="J26" s="143">
        <v>6</v>
      </c>
      <c r="K26" s="122"/>
      <c r="P26" s="132"/>
      <c r="Q26" s="132"/>
    </row>
    <row r="27" spans="1:18" ht="15" thickBot="1">
      <c r="A27" s="238"/>
      <c r="B27" s="240"/>
      <c r="C27" s="236"/>
      <c r="D27" s="118">
        <v>21</v>
      </c>
      <c r="E27" s="108" t="s">
        <v>421</v>
      </c>
      <c r="F27" s="144" t="s">
        <v>549</v>
      </c>
      <c r="G27" s="145">
        <v>2</v>
      </c>
      <c r="H27" s="146">
        <v>2</v>
      </c>
      <c r="I27" s="146">
        <v>4</v>
      </c>
      <c r="J27" s="147">
        <v>6</v>
      </c>
      <c r="K27" s="122"/>
      <c r="P27" s="132"/>
      <c r="Q27" s="132"/>
    </row>
    <row r="28" spans="1:18">
      <c r="A28" s="238"/>
      <c r="B28" s="240" t="s">
        <v>384</v>
      </c>
      <c r="C28" s="234" t="s">
        <v>9</v>
      </c>
      <c r="D28" s="115">
        <v>22</v>
      </c>
      <c r="E28" s="105" t="s">
        <v>418</v>
      </c>
      <c r="F28" s="136" t="s">
        <v>548</v>
      </c>
      <c r="G28" s="137">
        <v>1</v>
      </c>
      <c r="H28" s="138">
        <v>5</v>
      </c>
      <c r="I28" s="138">
        <v>5</v>
      </c>
      <c r="J28" s="139">
        <v>10</v>
      </c>
      <c r="K28" s="122"/>
      <c r="P28" s="132"/>
      <c r="Q28" s="132"/>
    </row>
    <row r="29" spans="1:18" ht="24">
      <c r="A29" s="238"/>
      <c r="B29" s="240"/>
      <c r="C29" s="235"/>
      <c r="D29" s="117">
        <v>23</v>
      </c>
      <c r="E29" s="107" t="s">
        <v>422</v>
      </c>
      <c r="F29" s="140" t="s">
        <v>549</v>
      </c>
      <c r="G29" s="141">
        <v>2</v>
      </c>
      <c r="H29" s="142">
        <v>2</v>
      </c>
      <c r="I29" s="142">
        <v>4</v>
      </c>
      <c r="J29" s="143">
        <v>6</v>
      </c>
      <c r="K29" s="122"/>
      <c r="P29" s="132"/>
      <c r="Q29" s="132"/>
    </row>
    <row r="30" spans="1:18" ht="24">
      <c r="A30" s="238"/>
      <c r="B30" s="240"/>
      <c r="C30" s="235"/>
      <c r="D30" s="117">
        <v>24</v>
      </c>
      <c r="E30" s="107" t="s">
        <v>423</v>
      </c>
      <c r="F30" s="140" t="s">
        <v>549</v>
      </c>
      <c r="G30" s="141">
        <v>1</v>
      </c>
      <c r="H30" s="142">
        <v>2</v>
      </c>
      <c r="I30" s="142">
        <v>5</v>
      </c>
      <c r="J30" s="143">
        <v>7</v>
      </c>
      <c r="K30" s="122"/>
    </row>
    <row r="31" spans="1:18">
      <c r="A31" s="238"/>
      <c r="B31" s="240"/>
      <c r="C31" s="235"/>
      <c r="D31" s="117">
        <v>25</v>
      </c>
      <c r="E31" s="107" t="s">
        <v>424</v>
      </c>
      <c r="F31" s="140" t="s">
        <v>549</v>
      </c>
      <c r="G31" s="141">
        <v>1</v>
      </c>
      <c r="H31" s="142">
        <v>2</v>
      </c>
      <c r="I31" s="142">
        <v>5</v>
      </c>
      <c r="J31" s="143">
        <v>7</v>
      </c>
      <c r="K31" s="122"/>
    </row>
    <row r="32" spans="1:18">
      <c r="A32" s="238"/>
      <c r="B32" s="240"/>
      <c r="C32" s="235"/>
      <c r="D32" s="117">
        <v>26</v>
      </c>
      <c r="E32" s="107" t="s">
        <v>444</v>
      </c>
      <c r="F32" s="140" t="s">
        <v>549</v>
      </c>
      <c r="G32" s="141">
        <v>2</v>
      </c>
      <c r="H32" s="142">
        <v>2</v>
      </c>
      <c r="I32" s="142">
        <v>4</v>
      </c>
      <c r="J32" s="143">
        <v>6</v>
      </c>
      <c r="K32" s="122"/>
    </row>
    <row r="33" spans="1:11">
      <c r="A33" s="238"/>
      <c r="B33" s="240"/>
      <c r="C33" s="235"/>
      <c r="D33" s="117">
        <v>27</v>
      </c>
      <c r="E33" s="107" t="s">
        <v>445</v>
      </c>
      <c r="F33" s="140" t="s">
        <v>549</v>
      </c>
      <c r="G33" s="141">
        <v>2</v>
      </c>
      <c r="H33" s="142">
        <v>2</v>
      </c>
      <c r="I33" s="142">
        <v>4</v>
      </c>
      <c r="J33" s="143">
        <v>6</v>
      </c>
      <c r="K33" s="122"/>
    </row>
    <row r="34" spans="1:11">
      <c r="A34" s="238"/>
      <c r="B34" s="240"/>
      <c r="C34" s="235"/>
      <c r="D34" s="117">
        <v>28</v>
      </c>
      <c r="E34" s="109" t="s">
        <v>446</v>
      </c>
      <c r="F34" s="140" t="s">
        <v>549</v>
      </c>
      <c r="G34" s="141">
        <v>1</v>
      </c>
      <c r="H34" s="142">
        <v>2</v>
      </c>
      <c r="I34" s="142">
        <v>5</v>
      </c>
      <c r="J34" s="143">
        <v>7</v>
      </c>
      <c r="K34" s="122"/>
    </row>
    <row r="35" spans="1:11">
      <c r="A35" s="238"/>
      <c r="B35" s="240"/>
      <c r="C35" s="235"/>
      <c r="D35" s="117">
        <v>29</v>
      </c>
      <c r="E35" s="109" t="s">
        <v>447</v>
      </c>
      <c r="F35" s="140" t="s">
        <v>549</v>
      </c>
      <c r="G35" s="141">
        <v>1</v>
      </c>
      <c r="H35" s="142">
        <v>2</v>
      </c>
      <c r="I35" s="142">
        <v>5</v>
      </c>
      <c r="J35" s="143">
        <v>7</v>
      </c>
      <c r="K35" s="122"/>
    </row>
    <row r="36" spans="1:11" ht="24.5" thickBot="1">
      <c r="A36" s="239"/>
      <c r="B36" s="248"/>
      <c r="C36" s="236"/>
      <c r="D36" s="118">
        <v>30</v>
      </c>
      <c r="E36" s="108" t="s">
        <v>425</v>
      </c>
      <c r="F36" s="144" t="s">
        <v>549</v>
      </c>
      <c r="G36" s="145">
        <v>2</v>
      </c>
      <c r="H36" s="146">
        <v>2</v>
      </c>
      <c r="I36" s="146">
        <v>4</v>
      </c>
      <c r="J36" s="147">
        <v>6</v>
      </c>
      <c r="K36" s="122"/>
    </row>
    <row r="37" spans="1:11" ht="24.25" customHeight="1">
      <c r="A37" s="241" t="s">
        <v>16</v>
      </c>
      <c r="B37" s="240" t="s">
        <v>385</v>
      </c>
      <c r="C37" s="234" t="s">
        <v>17</v>
      </c>
      <c r="D37" s="115">
        <v>31</v>
      </c>
      <c r="E37" s="105" t="s">
        <v>426</v>
      </c>
      <c r="F37" s="136" t="s">
        <v>548</v>
      </c>
      <c r="G37" s="137">
        <v>1</v>
      </c>
      <c r="H37" s="138">
        <v>5</v>
      </c>
      <c r="I37" s="138">
        <v>5</v>
      </c>
      <c r="J37" s="139">
        <v>10</v>
      </c>
      <c r="K37" s="122"/>
    </row>
    <row r="38" spans="1:11">
      <c r="A38" s="242"/>
      <c r="B38" s="240"/>
      <c r="C38" s="235"/>
      <c r="D38" s="117">
        <v>32</v>
      </c>
      <c r="E38" s="107" t="s">
        <v>427</v>
      </c>
      <c r="F38" s="140" t="s">
        <v>549</v>
      </c>
      <c r="G38" s="141">
        <v>1</v>
      </c>
      <c r="H38" s="142">
        <v>2</v>
      </c>
      <c r="I38" s="142">
        <v>5</v>
      </c>
      <c r="J38" s="143">
        <v>7</v>
      </c>
      <c r="K38" s="122"/>
    </row>
    <row r="39" spans="1:11">
      <c r="A39" s="242"/>
      <c r="B39" s="240"/>
      <c r="C39" s="235"/>
      <c r="D39" s="117">
        <v>33</v>
      </c>
      <c r="E39" s="107" t="s">
        <v>428</v>
      </c>
      <c r="F39" s="140" t="s">
        <v>549</v>
      </c>
      <c r="G39" s="141">
        <v>1</v>
      </c>
      <c r="H39" s="142">
        <v>2</v>
      </c>
      <c r="I39" s="142">
        <v>5</v>
      </c>
      <c r="J39" s="143">
        <v>7</v>
      </c>
      <c r="K39" s="122"/>
    </row>
    <row r="40" spans="1:11" ht="24">
      <c r="A40" s="242"/>
      <c r="B40" s="240"/>
      <c r="C40" s="235"/>
      <c r="D40" s="120">
        <v>34</v>
      </c>
      <c r="E40" s="107" t="s">
        <v>429</v>
      </c>
      <c r="F40" s="140" t="s">
        <v>548</v>
      </c>
      <c r="G40" s="141">
        <v>1</v>
      </c>
      <c r="H40" s="142">
        <v>5</v>
      </c>
      <c r="I40" s="142">
        <v>5</v>
      </c>
      <c r="J40" s="143">
        <v>10</v>
      </c>
      <c r="K40" s="122"/>
    </row>
    <row r="41" spans="1:11" ht="24.5" thickBot="1">
      <c r="A41" s="242"/>
      <c r="B41" s="240"/>
      <c r="C41" s="236"/>
      <c r="D41" s="118">
        <v>35</v>
      </c>
      <c r="E41" s="108" t="s">
        <v>430</v>
      </c>
      <c r="F41" s="144" t="s">
        <v>549</v>
      </c>
      <c r="G41" s="145">
        <v>1</v>
      </c>
      <c r="H41" s="146">
        <v>2</v>
      </c>
      <c r="I41" s="146">
        <v>5</v>
      </c>
      <c r="J41" s="147">
        <v>7</v>
      </c>
      <c r="K41" s="122"/>
    </row>
    <row r="42" spans="1:11" ht="14.15" customHeight="1">
      <c r="A42" s="242"/>
      <c r="B42" s="240" t="s">
        <v>386</v>
      </c>
      <c r="C42" s="234" t="s">
        <v>18</v>
      </c>
      <c r="D42" s="115">
        <v>36</v>
      </c>
      <c r="E42" s="105" t="s">
        <v>431</v>
      </c>
      <c r="F42" s="136" t="s">
        <v>548</v>
      </c>
      <c r="G42" s="137">
        <v>1</v>
      </c>
      <c r="H42" s="138">
        <v>5</v>
      </c>
      <c r="I42" s="138">
        <v>5</v>
      </c>
      <c r="J42" s="139">
        <v>10</v>
      </c>
      <c r="K42" s="122"/>
    </row>
    <row r="43" spans="1:11">
      <c r="A43" s="242"/>
      <c r="B43" s="240"/>
      <c r="C43" s="235"/>
      <c r="D43" s="117">
        <v>37</v>
      </c>
      <c r="E43" s="107" t="s">
        <v>435</v>
      </c>
      <c r="F43" s="140" t="s">
        <v>549</v>
      </c>
      <c r="G43" s="141">
        <v>1</v>
      </c>
      <c r="H43" s="142">
        <v>2</v>
      </c>
      <c r="I43" s="142">
        <v>5</v>
      </c>
      <c r="J43" s="143">
        <v>7</v>
      </c>
      <c r="K43" s="122"/>
    </row>
    <row r="44" spans="1:11">
      <c r="A44" s="242"/>
      <c r="B44" s="240"/>
      <c r="C44" s="235"/>
      <c r="D44" s="117">
        <v>38</v>
      </c>
      <c r="E44" s="107" t="s">
        <v>434</v>
      </c>
      <c r="F44" s="140" t="s">
        <v>549</v>
      </c>
      <c r="G44" s="141">
        <v>1</v>
      </c>
      <c r="H44" s="142">
        <v>2</v>
      </c>
      <c r="I44" s="142">
        <v>5</v>
      </c>
      <c r="J44" s="143">
        <v>7</v>
      </c>
      <c r="K44" s="122"/>
    </row>
    <row r="45" spans="1:11" ht="15" thickBot="1">
      <c r="A45" s="242"/>
      <c r="B45" s="240"/>
      <c r="C45" s="236"/>
      <c r="D45" s="118">
        <v>39</v>
      </c>
      <c r="E45" s="108" t="s">
        <v>436</v>
      </c>
      <c r="F45" s="144" t="s">
        <v>548</v>
      </c>
      <c r="G45" s="145">
        <v>1</v>
      </c>
      <c r="H45" s="146">
        <v>5</v>
      </c>
      <c r="I45" s="146">
        <v>5</v>
      </c>
      <c r="J45" s="147">
        <v>10</v>
      </c>
      <c r="K45" s="122"/>
    </row>
    <row r="46" spans="1:11" ht="14.15" customHeight="1">
      <c r="A46" s="242"/>
      <c r="B46" s="240" t="s">
        <v>387</v>
      </c>
      <c r="C46" s="234" t="s">
        <v>19</v>
      </c>
      <c r="D46" s="115">
        <v>40</v>
      </c>
      <c r="E46" s="107" t="s">
        <v>437</v>
      </c>
      <c r="F46" s="136" t="s">
        <v>549</v>
      </c>
      <c r="G46" s="137">
        <v>1</v>
      </c>
      <c r="H46" s="138">
        <v>2</v>
      </c>
      <c r="I46" s="138">
        <v>5</v>
      </c>
      <c r="J46" s="139">
        <v>7</v>
      </c>
      <c r="K46" s="122"/>
    </row>
    <row r="47" spans="1:11" ht="24.5" thickBot="1">
      <c r="A47" s="242"/>
      <c r="B47" s="240"/>
      <c r="C47" s="236"/>
      <c r="D47" s="118">
        <v>41</v>
      </c>
      <c r="E47" s="107" t="s">
        <v>432</v>
      </c>
      <c r="F47" s="144" t="s">
        <v>549</v>
      </c>
      <c r="G47" s="145">
        <v>1</v>
      </c>
      <c r="H47" s="146">
        <v>2</v>
      </c>
      <c r="I47" s="146">
        <v>5</v>
      </c>
      <c r="J47" s="147">
        <v>7</v>
      </c>
      <c r="K47" s="122"/>
    </row>
    <row r="48" spans="1:11" ht="15" thickBot="1">
      <c r="A48" s="243"/>
      <c r="B48" s="42" t="s">
        <v>388</v>
      </c>
      <c r="C48" s="113" t="s">
        <v>20</v>
      </c>
      <c r="D48" s="119">
        <v>42</v>
      </c>
      <c r="E48" s="112" t="s">
        <v>433</v>
      </c>
      <c r="F48" s="148" t="s">
        <v>548</v>
      </c>
      <c r="G48" s="149">
        <v>1</v>
      </c>
      <c r="H48" s="150">
        <v>5</v>
      </c>
      <c r="I48" s="150">
        <v>5</v>
      </c>
      <c r="J48" s="151">
        <v>10</v>
      </c>
      <c r="K48" s="122"/>
    </row>
    <row r="49" spans="1:11" ht="15" thickBot="1">
      <c r="A49" s="183"/>
      <c r="B49" s="104"/>
      <c r="C49" s="184" t="s">
        <v>570</v>
      </c>
      <c r="D49" s="185"/>
      <c r="E49" s="186" t="s">
        <v>564</v>
      </c>
      <c r="F49" s="137" t="s">
        <v>565</v>
      </c>
      <c r="G49" s="137"/>
      <c r="H49" s="138"/>
      <c r="I49" s="138"/>
      <c r="J49" s="139"/>
      <c r="K49" s="122"/>
    </row>
    <row r="50" spans="1:11">
      <c r="A50" s="183"/>
      <c r="B50" s="104"/>
      <c r="C50" s="184" t="s">
        <v>569</v>
      </c>
      <c r="D50" s="173" t="s">
        <v>379</v>
      </c>
      <c r="E50" s="152">
        <f>ROW(B2)</f>
        <v>2</v>
      </c>
      <c r="F50" s="152">
        <f>ROW(B5)-1</f>
        <v>4</v>
      </c>
      <c r="G50" s="153"/>
      <c r="H50" s="153"/>
      <c r="I50" s="153"/>
      <c r="J50" s="154">
        <f>SUM(J2:J4)</f>
        <v>26</v>
      </c>
      <c r="K50" s="123"/>
    </row>
    <row r="51" spans="1:11">
      <c r="A51" s="183"/>
      <c r="B51" s="104"/>
      <c r="C51" s="184" t="s">
        <v>569</v>
      </c>
      <c r="D51" s="174" t="s">
        <v>380</v>
      </c>
      <c r="E51" s="155">
        <f t="shared" ref="E51:E59" si="0">F50+1</f>
        <v>5</v>
      </c>
      <c r="F51" s="155">
        <f>ROW(B10)-1</f>
        <v>9</v>
      </c>
      <c r="G51" s="155"/>
      <c r="H51" s="155"/>
      <c r="I51" s="155"/>
      <c r="J51" s="156">
        <f>SUM(J5:J9)</f>
        <v>43</v>
      </c>
    </row>
    <row r="52" spans="1:11">
      <c r="A52" s="183"/>
      <c r="B52" s="104"/>
      <c r="C52" s="184" t="s">
        <v>569</v>
      </c>
      <c r="D52" s="174" t="s">
        <v>381</v>
      </c>
      <c r="E52" s="155">
        <f t="shared" si="0"/>
        <v>10</v>
      </c>
      <c r="F52" s="155">
        <f>ROW(B16)-1</f>
        <v>15</v>
      </c>
      <c r="G52" s="155"/>
      <c r="H52" s="155"/>
      <c r="I52" s="155"/>
      <c r="J52" s="156">
        <f>SUM(J10:J15)</f>
        <v>38</v>
      </c>
    </row>
    <row r="53" spans="1:11" ht="15" thickBot="1">
      <c r="A53" s="183"/>
      <c r="B53" s="104"/>
      <c r="C53" s="184" t="s">
        <v>569</v>
      </c>
      <c r="D53" s="174" t="s">
        <v>382</v>
      </c>
      <c r="E53" s="155">
        <f t="shared" si="0"/>
        <v>16</v>
      </c>
      <c r="F53" s="155">
        <f>ROW(B17)-1</f>
        <v>16</v>
      </c>
      <c r="G53" s="155"/>
      <c r="H53" s="155"/>
      <c r="I53" s="155"/>
      <c r="J53" s="156">
        <f>SUM(J16)</f>
        <v>7</v>
      </c>
    </row>
    <row r="54" spans="1:11" ht="15" thickTop="1">
      <c r="A54" s="183"/>
      <c r="B54" s="104"/>
      <c r="C54" s="184" t="s">
        <v>569</v>
      </c>
      <c r="D54" s="175" t="s">
        <v>383</v>
      </c>
      <c r="E54" s="165">
        <f t="shared" si="0"/>
        <v>17</v>
      </c>
      <c r="F54" s="165">
        <f>ROW(B28)-1</f>
        <v>27</v>
      </c>
      <c r="G54" s="165"/>
      <c r="H54" s="165"/>
      <c r="I54" s="165"/>
      <c r="J54" s="166">
        <f>SUM(J17:J27)</f>
        <v>82</v>
      </c>
    </row>
    <row r="55" spans="1:11" ht="15" thickBot="1">
      <c r="A55" s="183"/>
      <c r="B55" s="104"/>
      <c r="C55" s="184" t="s">
        <v>569</v>
      </c>
      <c r="D55" s="176" t="s">
        <v>384</v>
      </c>
      <c r="E55" s="167">
        <f t="shared" si="0"/>
        <v>28</v>
      </c>
      <c r="F55" s="167">
        <f>ROW(B37)-1</f>
        <v>36</v>
      </c>
      <c r="G55" s="167"/>
      <c r="H55" s="167"/>
      <c r="I55" s="167"/>
      <c r="J55" s="168">
        <f>SUM(J28:J36)</f>
        <v>62</v>
      </c>
    </row>
    <row r="56" spans="1:11" ht="15" thickTop="1">
      <c r="A56" s="183"/>
      <c r="B56" s="104"/>
      <c r="C56" s="184" t="s">
        <v>569</v>
      </c>
      <c r="D56" s="177" t="s">
        <v>385</v>
      </c>
      <c r="E56" s="169">
        <f t="shared" si="0"/>
        <v>37</v>
      </c>
      <c r="F56" s="169">
        <f>ROW(B42)-1</f>
        <v>41</v>
      </c>
      <c r="G56" s="169"/>
      <c r="H56" s="169"/>
      <c r="I56" s="169"/>
      <c r="J56" s="170">
        <f>SUM(J37:J41)</f>
        <v>41</v>
      </c>
    </row>
    <row r="57" spans="1:11">
      <c r="A57" s="183"/>
      <c r="B57" s="104"/>
      <c r="C57" s="184" t="s">
        <v>569</v>
      </c>
      <c r="D57" s="178" t="s">
        <v>386</v>
      </c>
      <c r="E57" s="171">
        <f t="shared" si="0"/>
        <v>42</v>
      </c>
      <c r="F57" s="171">
        <f>ROW(B46)-1</f>
        <v>45</v>
      </c>
      <c r="G57" s="171"/>
      <c r="H57" s="171"/>
      <c r="I57" s="171"/>
      <c r="J57" s="172">
        <f>SUM(J42:J45)</f>
        <v>34</v>
      </c>
    </row>
    <row r="58" spans="1:11">
      <c r="A58" s="183"/>
      <c r="B58" s="104"/>
      <c r="C58" s="184" t="s">
        <v>569</v>
      </c>
      <c r="D58" s="178" t="s">
        <v>387</v>
      </c>
      <c r="E58" s="171">
        <f t="shared" si="0"/>
        <v>46</v>
      </c>
      <c r="F58" s="171">
        <f>ROW(B48)-1</f>
        <v>47</v>
      </c>
      <c r="G58" s="171"/>
      <c r="H58" s="171"/>
      <c r="I58" s="171"/>
      <c r="J58" s="172">
        <f>SUM(J46:J47)</f>
        <v>14</v>
      </c>
    </row>
    <row r="59" spans="1:11" ht="15" thickBot="1">
      <c r="A59" s="183"/>
      <c r="B59" s="104"/>
      <c r="C59" s="184" t="s">
        <v>569</v>
      </c>
      <c r="D59" s="178" t="s">
        <v>388</v>
      </c>
      <c r="E59" s="171">
        <f t="shared" si="0"/>
        <v>48</v>
      </c>
      <c r="F59" s="171">
        <f>E59</f>
        <v>48</v>
      </c>
      <c r="G59" s="171"/>
      <c r="H59" s="171"/>
      <c r="I59" s="171"/>
      <c r="J59" s="172">
        <f>SUM(J48)</f>
        <v>10</v>
      </c>
    </row>
    <row r="60" spans="1:11" ht="15" thickTop="1">
      <c r="A60" s="183"/>
      <c r="B60" s="104"/>
      <c r="C60" s="184"/>
      <c r="D60" s="179" t="s">
        <v>389</v>
      </c>
      <c r="E60" s="160">
        <f>ROW(J50)</f>
        <v>50</v>
      </c>
      <c r="F60" s="160">
        <f>ROW(J54)-1</f>
        <v>53</v>
      </c>
      <c r="G60" s="160"/>
      <c r="H60" s="160"/>
      <c r="I60" s="160"/>
      <c r="J60" s="161">
        <f>SUM(J50:J53)</f>
        <v>114</v>
      </c>
    </row>
    <row r="61" spans="1:11">
      <c r="A61" s="183"/>
      <c r="B61" s="104"/>
      <c r="C61" s="184"/>
      <c r="D61" s="180" t="s">
        <v>390</v>
      </c>
      <c r="E61" s="159">
        <f>F60+1</f>
        <v>54</v>
      </c>
      <c r="F61" s="159">
        <f>ROW(J56)-1</f>
        <v>55</v>
      </c>
      <c r="G61" s="159"/>
      <c r="H61" s="159"/>
      <c r="I61" s="159"/>
      <c r="J61" s="162">
        <f>SUM(J54:J55)</f>
        <v>144</v>
      </c>
    </row>
    <row r="62" spans="1:11" ht="15" thickBot="1">
      <c r="A62" s="183"/>
      <c r="B62" s="104"/>
      <c r="C62" s="184"/>
      <c r="D62" s="181" t="s">
        <v>391</v>
      </c>
      <c r="E62" s="163">
        <f>F61+1</f>
        <v>56</v>
      </c>
      <c r="F62" s="163">
        <f>ROW(J60)-1</f>
        <v>59</v>
      </c>
      <c r="G62" s="163"/>
      <c r="H62" s="163"/>
      <c r="I62" s="163"/>
      <c r="J62" s="164">
        <f>SUM(J56:J59)</f>
        <v>99</v>
      </c>
    </row>
    <row r="63" spans="1:11" ht="15" thickTop="1">
      <c r="A63" s="183"/>
      <c r="B63" s="104"/>
      <c r="C63" s="184"/>
      <c r="D63" s="182" t="s">
        <v>392</v>
      </c>
      <c r="E63" s="157">
        <f>ROW(J60)</f>
        <v>60</v>
      </c>
      <c r="F63" s="157">
        <f>ROW(J62)</f>
        <v>62</v>
      </c>
      <c r="G63" s="157"/>
      <c r="H63" s="157"/>
      <c r="I63" s="157"/>
      <c r="J63" s="158">
        <f>SUM(J60:J62)</f>
        <v>357</v>
      </c>
    </row>
  </sheetData>
  <sheetProtection algorithmName="SHA-512" hashValue="23c88Dd6/YIbOYiqU3MNTduKhmHzVVt+1IErWthzNj4HjAMBglupMhsCBT/ur32cAnG+RmE1h0Pz5MpkhjnSrA==" saltValue="6kzqYZgcZlr0vxYiBQosEw==" spinCount="100000" sheet="1" objects="1" scenarios="1" formatCells="0"/>
  <mergeCells count="21">
    <mergeCell ref="A37:A48"/>
    <mergeCell ref="C37:C41"/>
    <mergeCell ref="C42:C45"/>
    <mergeCell ref="C46:C47"/>
    <mergeCell ref="A1:C1"/>
    <mergeCell ref="B17:B27"/>
    <mergeCell ref="B28:B36"/>
    <mergeCell ref="B37:B41"/>
    <mergeCell ref="B42:B45"/>
    <mergeCell ref="B46:B47"/>
    <mergeCell ref="P23:R23"/>
    <mergeCell ref="A2:A16"/>
    <mergeCell ref="C2:C4"/>
    <mergeCell ref="C5:C9"/>
    <mergeCell ref="C10:C15"/>
    <mergeCell ref="A17:A36"/>
    <mergeCell ref="C17:C27"/>
    <mergeCell ref="C28:C36"/>
    <mergeCell ref="B2:B4"/>
    <mergeCell ref="B5:B9"/>
    <mergeCell ref="B10:B1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9.26953125" defaultRowHeight="14.5"/>
  <cols>
    <col min="1" max="1" width="102.36328125" style="73" customWidth="1"/>
    <col min="2" max="16384" width="9.26953125" style="73"/>
  </cols>
  <sheetData>
    <row r="1" ht="409.5" customHeight="1"/>
  </sheetData>
  <sheetProtection algorithmName="SHA-512" hashValue="HQEQP8jBnZVaDjyqj5f/Ln8lKVf0q0gkFZF7rQwWoBYpZ8CsRrwInZaVHcpZcmA+Ro3xkHu/gjEzmmVoyrC+Tw==" saltValue="oNndZ6cz8w8gIP/PQUUsnw==" spinCount="100000" sheet="1" objects="1" scenarios="1" formatCells="0"/>
  <phoneticPr fontId="6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2" r:id="rId3" name="CommandButton2">
          <controlPr autoLine="0" autoPict="0" r:id="rId4">
            <anchor moveWithCells="1">
              <from>
                <xdr:col>0</xdr:col>
                <xdr:colOff>5778500</xdr:colOff>
                <xdr:row>0</xdr:row>
                <xdr:rowOff>2438400</xdr:rowOff>
              </from>
              <to>
                <xdr:col>0</xdr:col>
                <xdr:colOff>8267700</xdr:colOff>
                <xdr:row>0</xdr:row>
                <xdr:rowOff>3194050</xdr:rowOff>
              </to>
            </anchor>
          </controlPr>
        </control>
      </mc:Choice>
      <mc:Fallback>
        <control shapeId="6152" r:id="rId3" name="CommandButton2"/>
      </mc:Fallback>
    </mc:AlternateContent>
    <mc:AlternateContent xmlns:mc="http://schemas.openxmlformats.org/markup-compatibility/2006">
      <mc:Choice Requires="x14">
        <control shapeId="6151" r:id="rId5" name="CommandButton7">
          <controlPr autoLine="0" r:id="rId6">
            <anchor moveWithCells="1">
              <from>
                <xdr:col>1</xdr:col>
                <xdr:colOff>0</xdr:colOff>
                <xdr:row>0</xdr:row>
                <xdr:rowOff>1587500</xdr:rowOff>
              </from>
              <to>
                <xdr:col>4</xdr:col>
                <xdr:colOff>127000</xdr:colOff>
                <xdr:row>0</xdr:row>
                <xdr:rowOff>2076450</xdr:rowOff>
              </to>
            </anchor>
          </controlPr>
        </control>
      </mc:Choice>
      <mc:Fallback>
        <control shapeId="6151" r:id="rId5" name="CommandButton7"/>
      </mc:Fallback>
    </mc:AlternateContent>
    <mc:AlternateContent xmlns:mc="http://schemas.openxmlformats.org/markup-compatibility/2006">
      <mc:Choice Requires="x14">
        <control shapeId="6150" r:id="rId7" name="CommandButton6">
          <controlPr autoLine="0" r:id="rId8">
            <anchor moveWithCells="1">
              <from>
                <xdr:col>0</xdr:col>
                <xdr:colOff>2921000</xdr:colOff>
                <xdr:row>0</xdr:row>
                <xdr:rowOff>1568450</xdr:rowOff>
              </from>
              <to>
                <xdr:col>0</xdr:col>
                <xdr:colOff>4991100</xdr:colOff>
                <xdr:row>0</xdr:row>
                <xdr:rowOff>2057400</xdr:rowOff>
              </to>
            </anchor>
          </controlPr>
        </control>
      </mc:Choice>
      <mc:Fallback>
        <control shapeId="6150" r:id="rId7" name="CommandButton6"/>
      </mc:Fallback>
    </mc:AlternateContent>
    <mc:AlternateContent xmlns:mc="http://schemas.openxmlformats.org/markup-compatibility/2006">
      <mc:Choice Requires="x14">
        <control shapeId="6149" r:id="rId9" name="CommandButton5">
          <controlPr autoLine="0" r:id="rId10">
            <anchor moveWithCells="1">
              <from>
                <xdr:col>1</xdr:col>
                <xdr:colOff>0</xdr:colOff>
                <xdr:row>0</xdr:row>
                <xdr:rowOff>165100</xdr:rowOff>
              </from>
              <to>
                <xdr:col>4</xdr:col>
                <xdr:colOff>127000</xdr:colOff>
                <xdr:row>0</xdr:row>
                <xdr:rowOff>654050</xdr:rowOff>
              </to>
            </anchor>
          </controlPr>
        </control>
      </mc:Choice>
      <mc:Fallback>
        <control shapeId="6149" r:id="rId9" name="CommandButton5"/>
      </mc:Fallback>
    </mc:AlternateContent>
    <mc:AlternateContent xmlns:mc="http://schemas.openxmlformats.org/markup-compatibility/2006">
      <mc:Choice Requires="x14">
        <control shapeId="6148" r:id="rId11" name="CmdBtnDeletePaper">
          <controlPr autoLine="0" r:id="rId12">
            <anchor moveWithCells="1">
              <from>
                <xdr:col>0</xdr:col>
                <xdr:colOff>2914650</xdr:colOff>
                <xdr:row>0</xdr:row>
                <xdr:rowOff>171450</xdr:rowOff>
              </from>
              <to>
                <xdr:col>0</xdr:col>
                <xdr:colOff>4984750</xdr:colOff>
                <xdr:row>0</xdr:row>
                <xdr:rowOff>660400</xdr:rowOff>
              </to>
            </anchor>
          </controlPr>
        </control>
      </mc:Choice>
      <mc:Fallback>
        <control shapeId="6148" r:id="rId11" name="CmdBtnDeletePaper"/>
      </mc:Fallback>
    </mc:AlternateContent>
    <mc:AlternateContent xmlns:mc="http://schemas.openxmlformats.org/markup-compatibility/2006">
      <mc:Choice Requires="x14">
        <control shapeId="6147" r:id="rId13" name="CmdBtnSetDataValidation">
          <controlPr autoLine="0" autoPict="0" r:id="rId14">
            <anchor moveWithCells="1">
              <from>
                <xdr:col>0</xdr:col>
                <xdr:colOff>254000</xdr:colOff>
                <xdr:row>0</xdr:row>
                <xdr:rowOff>1562100</xdr:rowOff>
              </from>
              <to>
                <xdr:col>0</xdr:col>
                <xdr:colOff>2813050</xdr:colOff>
                <xdr:row>0</xdr:row>
                <xdr:rowOff>2152650</xdr:rowOff>
              </to>
            </anchor>
          </controlPr>
        </control>
      </mc:Choice>
      <mc:Fallback>
        <control shapeId="6147" r:id="rId13" name="CmdBtnSetDataValidation"/>
      </mc:Fallback>
    </mc:AlternateContent>
    <mc:AlternateContent xmlns:mc="http://schemas.openxmlformats.org/markup-compatibility/2006">
      <mc:Choice Requires="x14">
        <control shapeId="6146" r:id="rId15" name="CmdBtnInitialiseCheckListSystem">
          <controlPr autoLine="0" autoPict="0" r:id="rId16">
            <anchor moveWithCells="1">
              <from>
                <xdr:col>0</xdr:col>
                <xdr:colOff>254000</xdr:colOff>
                <xdr:row>0</xdr:row>
                <xdr:rowOff>1028700</xdr:rowOff>
              </from>
              <to>
                <xdr:col>0</xdr:col>
                <xdr:colOff>2832100</xdr:colOff>
                <xdr:row>0</xdr:row>
                <xdr:rowOff>1390650</xdr:rowOff>
              </to>
            </anchor>
          </controlPr>
        </control>
      </mc:Choice>
      <mc:Fallback>
        <control shapeId="6146" r:id="rId15" name="CmdBtnInitialiseCheckListSystem"/>
      </mc:Fallback>
    </mc:AlternateContent>
    <mc:AlternateContent xmlns:mc="http://schemas.openxmlformats.org/markup-compatibility/2006">
      <mc:Choice Requires="x14">
        <control shapeId="6145" r:id="rId17" name="CommandButton1">
          <controlPr autoLine="0" r:id="rId18">
            <anchor moveWithCells="1">
              <from>
                <xdr:col>0</xdr:col>
                <xdr:colOff>241300</xdr:colOff>
                <xdr:row>0</xdr:row>
                <xdr:rowOff>152400</xdr:rowOff>
              </from>
              <to>
                <xdr:col>0</xdr:col>
                <xdr:colOff>2393950</xdr:colOff>
                <xdr:row>0</xdr:row>
                <xdr:rowOff>704850</xdr:rowOff>
              </to>
            </anchor>
          </controlPr>
        </control>
      </mc:Choice>
      <mc:Fallback>
        <control shapeId="6145" r:id="rId1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65"/>
  <sheetViews>
    <sheetView showGridLines="0" tabSelected="1" zoomScale="70" zoomScaleNormal="70" zoomScaleSheetLayoutView="80" workbookViewId="0">
      <pane xSplit="7" ySplit="17" topLeftCell="H18" activePane="bottomRight" state="frozen"/>
      <selection pane="topRight"/>
      <selection pane="bottomLeft"/>
      <selection pane="bottomRight" activeCell="H2" sqref="H2"/>
    </sheetView>
  </sheetViews>
  <sheetFormatPr defaultColWidth="9.26953125" defaultRowHeight="14.5" zeroHeight="1"/>
  <cols>
    <col min="1" max="1" width="6.1796875" style="5" customWidth="1"/>
    <col min="2" max="2" width="5.26953125" style="6" hidden="1" customWidth="1"/>
    <col min="3" max="3" width="11.7265625" style="7" customWidth="1"/>
    <col min="4" max="4" width="5.7265625" style="7" customWidth="1"/>
    <col min="5" max="5" width="27.81640625" style="10" customWidth="1"/>
    <col min="6" max="6" width="23.81640625" style="10" customWidth="1"/>
    <col min="7" max="7" width="21.90625" style="10" customWidth="1"/>
    <col min="8" max="13" width="22" style="69" customWidth="1"/>
    <col min="14" max="16067" width="9.26953125" style="7"/>
    <col min="16068" max="16384" width="8.36328125" style="7" customWidth="1"/>
  </cols>
  <sheetData>
    <row r="1" spans="1:13" ht="24.15" customHeight="1" thickBot="1">
      <c r="A1" s="272" t="s">
        <v>531</v>
      </c>
      <c r="B1" s="273"/>
      <c r="C1" s="273"/>
      <c r="D1" s="273"/>
      <c r="E1" s="273"/>
      <c r="F1" s="273"/>
      <c r="G1" s="273"/>
      <c r="H1" s="55"/>
      <c r="I1" s="55"/>
      <c r="J1" s="55"/>
      <c r="K1" s="55"/>
      <c r="L1" s="55"/>
      <c r="M1" s="55"/>
    </row>
    <row r="2" spans="1:13" ht="27.5" customHeight="1">
      <c r="A2" s="50"/>
      <c r="B2" s="50"/>
      <c r="C2" s="50"/>
      <c r="D2" s="50"/>
      <c r="E2" s="50"/>
      <c r="F2" s="50"/>
      <c r="G2" s="98"/>
      <c r="H2" s="54"/>
      <c r="I2" s="54"/>
      <c r="J2" s="54"/>
      <c r="K2" s="54"/>
      <c r="L2" s="54"/>
      <c r="M2" s="54"/>
    </row>
    <row r="3" spans="1:13" s="28" customFormat="1" ht="15.4" customHeight="1" thickBot="1">
      <c r="A3" s="289"/>
      <c r="B3" s="289"/>
      <c r="C3" s="289"/>
      <c r="D3" s="289"/>
      <c r="E3" s="289"/>
      <c r="F3" s="289"/>
      <c r="G3" s="99" t="s">
        <v>528</v>
      </c>
      <c r="H3" s="51" t="s">
        <v>528</v>
      </c>
      <c r="I3" s="51" t="s">
        <v>528</v>
      </c>
      <c r="J3" s="51" t="s">
        <v>528</v>
      </c>
      <c r="K3" s="51" t="s">
        <v>528</v>
      </c>
      <c r="L3" s="51" t="s">
        <v>528</v>
      </c>
      <c r="M3" s="51" t="s">
        <v>528</v>
      </c>
    </row>
    <row r="4" spans="1:13" s="9" customFormat="1" ht="13">
      <c r="A4" s="288"/>
      <c r="B4" s="288"/>
      <c r="C4" s="288"/>
      <c r="D4" s="288"/>
      <c r="E4" s="288"/>
      <c r="F4" s="31" t="s">
        <v>299</v>
      </c>
      <c r="G4" s="227"/>
      <c r="H4" s="210">
        <v>0.84</v>
      </c>
      <c r="I4" s="213">
        <v>0.57999999999999996</v>
      </c>
      <c r="J4" s="215">
        <v>0.92</v>
      </c>
      <c r="K4" s="215">
        <v>1</v>
      </c>
      <c r="L4" s="213">
        <v>0.57999999999999996</v>
      </c>
      <c r="M4" s="215">
        <v>1</v>
      </c>
    </row>
    <row r="5" spans="1:13" s="9" customFormat="1" ht="13">
      <c r="A5" s="288"/>
      <c r="B5" s="288"/>
      <c r="C5" s="288"/>
      <c r="D5" s="288"/>
      <c r="E5" s="288"/>
      <c r="F5" s="32" t="s">
        <v>300</v>
      </c>
      <c r="G5" s="228"/>
      <c r="H5" s="211">
        <v>0.93</v>
      </c>
      <c r="I5" s="211">
        <v>1</v>
      </c>
      <c r="J5" s="211">
        <v>0.93</v>
      </c>
      <c r="K5" s="211">
        <v>1</v>
      </c>
      <c r="L5" s="211">
        <v>0.93</v>
      </c>
      <c r="M5" s="211">
        <v>1</v>
      </c>
    </row>
    <row r="6" spans="1:13" s="9" customFormat="1" ht="13">
      <c r="A6" s="288"/>
      <c r="B6" s="288"/>
      <c r="C6" s="288"/>
      <c r="D6" s="288"/>
      <c r="E6" s="288"/>
      <c r="F6" s="32" t="s">
        <v>301</v>
      </c>
      <c r="G6" s="228"/>
      <c r="H6" s="211">
        <v>1</v>
      </c>
      <c r="I6" s="211">
        <v>1</v>
      </c>
      <c r="J6" s="211">
        <v>1</v>
      </c>
      <c r="K6" s="211">
        <v>1</v>
      </c>
      <c r="L6" s="211">
        <v>0.9</v>
      </c>
      <c r="M6" s="211">
        <v>1</v>
      </c>
    </row>
    <row r="7" spans="1:13" s="9" customFormat="1" ht="13.5" thickBot="1">
      <c r="A7" s="288"/>
      <c r="B7" s="288"/>
      <c r="C7" s="288"/>
      <c r="D7" s="288"/>
      <c r="E7" s="288"/>
      <c r="F7" s="33" t="s">
        <v>302</v>
      </c>
      <c r="G7" s="229"/>
      <c r="H7" s="212">
        <v>0.92</v>
      </c>
      <c r="I7" s="214">
        <v>0.87</v>
      </c>
      <c r="J7" s="212">
        <v>0.95</v>
      </c>
      <c r="K7" s="212">
        <v>1</v>
      </c>
      <c r="L7" s="214">
        <v>0.81</v>
      </c>
      <c r="M7" s="212">
        <v>1</v>
      </c>
    </row>
    <row r="8" spans="1:13" s="9" customFormat="1" ht="6" customHeight="1" thickBot="1">
      <c r="A8" s="288"/>
      <c r="B8" s="288"/>
      <c r="C8" s="288"/>
      <c r="D8" s="288"/>
      <c r="E8" s="288"/>
      <c r="F8" s="34"/>
      <c r="G8" s="100"/>
      <c r="H8" s="52"/>
      <c r="I8" s="52"/>
      <c r="J8" s="52"/>
      <c r="K8" s="52"/>
      <c r="L8" s="52"/>
      <c r="M8" s="52"/>
    </row>
    <row r="9" spans="1:13" s="9" customFormat="1" ht="13.5" customHeight="1" thickBot="1">
      <c r="A9" s="288"/>
      <c r="B9" s="288"/>
      <c r="C9" s="288"/>
      <c r="D9" s="288"/>
      <c r="E9" s="288"/>
      <c r="F9" s="285" t="s">
        <v>304</v>
      </c>
      <c r="G9" s="286"/>
      <c r="H9" s="56" t="s">
        <v>597</v>
      </c>
      <c r="I9" s="56" t="s">
        <v>597</v>
      </c>
      <c r="J9" s="56" t="s">
        <v>597</v>
      </c>
      <c r="K9" s="56" t="s">
        <v>597</v>
      </c>
      <c r="L9" s="56" t="s">
        <v>597</v>
      </c>
      <c r="M9" s="56" t="s">
        <v>597</v>
      </c>
    </row>
    <row r="10" spans="1:13" s="9" customFormat="1" ht="13">
      <c r="A10" s="288"/>
      <c r="B10" s="288"/>
      <c r="C10" s="288"/>
      <c r="D10" s="288"/>
      <c r="E10" s="288"/>
      <c r="F10" s="35" t="s">
        <v>529</v>
      </c>
      <c r="G10" s="208">
        <v>17066074</v>
      </c>
      <c r="H10" s="103">
        <v>17066074</v>
      </c>
      <c r="I10" s="103">
        <v>18343633</v>
      </c>
      <c r="J10" s="103">
        <v>19365556</v>
      </c>
      <c r="K10" s="103">
        <v>19729072</v>
      </c>
      <c r="L10" s="103">
        <v>20519589</v>
      </c>
      <c r="M10" s="103">
        <v>21376043</v>
      </c>
    </row>
    <row r="11" spans="1:13" s="9" customFormat="1" ht="13">
      <c r="A11" s="288"/>
      <c r="B11" s="288"/>
      <c r="C11" s="288"/>
      <c r="D11" s="288"/>
      <c r="E11" s="288"/>
      <c r="F11" s="206" t="s">
        <v>579</v>
      </c>
      <c r="G11" s="226" t="s">
        <v>626</v>
      </c>
      <c r="H11" s="204"/>
      <c r="I11" s="204"/>
      <c r="J11" s="204"/>
      <c r="K11" s="204"/>
      <c r="L11" s="204"/>
      <c r="M11" s="204"/>
    </row>
    <row r="12" spans="1:13" s="9" customFormat="1" ht="13">
      <c r="A12" s="288"/>
      <c r="B12" s="288"/>
      <c r="C12" s="288"/>
      <c r="D12" s="288"/>
      <c r="E12" s="288"/>
      <c r="F12" s="206" t="s">
        <v>580</v>
      </c>
      <c r="G12" s="205">
        <v>2009</v>
      </c>
      <c r="H12" s="204">
        <v>2009</v>
      </c>
      <c r="I12" s="204"/>
      <c r="J12" s="204"/>
      <c r="K12" s="204"/>
      <c r="L12" s="204">
        <v>2014</v>
      </c>
      <c r="M12" s="204">
        <v>2015</v>
      </c>
    </row>
    <row r="13" spans="1:13" s="9" customFormat="1" ht="24">
      <c r="A13" s="288"/>
      <c r="B13" s="288"/>
      <c r="C13" s="288"/>
      <c r="D13" s="288"/>
      <c r="E13" s="288"/>
      <c r="F13" s="36" t="s">
        <v>453</v>
      </c>
      <c r="G13" s="29" t="s">
        <v>3</v>
      </c>
      <c r="H13" s="57" t="s">
        <v>3</v>
      </c>
      <c r="I13" s="57" t="s">
        <v>36</v>
      </c>
      <c r="J13" s="57" t="s">
        <v>3</v>
      </c>
      <c r="K13" s="57" t="s">
        <v>36</v>
      </c>
      <c r="L13" s="57" t="s">
        <v>23</v>
      </c>
      <c r="M13" s="57" t="s">
        <v>23</v>
      </c>
    </row>
    <row r="14" spans="1:13" s="9" customFormat="1" ht="36">
      <c r="A14" s="288"/>
      <c r="B14" s="288"/>
      <c r="C14" s="288"/>
      <c r="D14" s="288"/>
      <c r="E14" s="288"/>
      <c r="F14" s="36" t="s">
        <v>454</v>
      </c>
      <c r="G14" s="29" t="s">
        <v>295</v>
      </c>
      <c r="H14" s="58" t="s">
        <v>295</v>
      </c>
      <c r="I14" s="58" t="s">
        <v>294</v>
      </c>
      <c r="J14" s="58" t="s">
        <v>295</v>
      </c>
      <c r="K14" s="58" t="s">
        <v>294</v>
      </c>
      <c r="L14" s="58" t="s">
        <v>293</v>
      </c>
      <c r="M14" s="58" t="s">
        <v>293</v>
      </c>
    </row>
    <row r="15" spans="1:13" s="9" customFormat="1" ht="13.5" thickBot="1">
      <c r="A15" s="288"/>
      <c r="B15" s="288"/>
      <c r="C15" s="288"/>
      <c r="D15" s="288"/>
      <c r="E15" s="288"/>
      <c r="F15" s="37" t="s">
        <v>455</v>
      </c>
      <c r="G15" s="101" t="s">
        <v>298</v>
      </c>
      <c r="H15" s="59" t="s">
        <v>298</v>
      </c>
      <c r="I15" s="59" t="s">
        <v>298</v>
      </c>
      <c r="J15" s="59" t="s">
        <v>298</v>
      </c>
      <c r="K15" s="59" t="s">
        <v>297</v>
      </c>
      <c r="L15" s="59" t="s">
        <v>298</v>
      </c>
      <c r="M15" s="59" t="s">
        <v>298</v>
      </c>
    </row>
    <row r="16" spans="1:13" s="9" customFormat="1" ht="6" customHeight="1" thickBot="1">
      <c r="A16" s="287"/>
      <c r="B16" s="288"/>
      <c r="C16" s="288"/>
      <c r="D16" s="288"/>
      <c r="E16" s="288"/>
      <c r="F16" s="288"/>
      <c r="G16" s="102"/>
      <c r="H16" s="83"/>
      <c r="I16" s="225"/>
      <c r="J16" s="225"/>
      <c r="K16" s="225"/>
      <c r="L16" s="225"/>
      <c r="M16" s="225"/>
    </row>
    <row r="17" spans="1:13" s="8" customFormat="1" ht="27" customHeight="1" thickBot="1">
      <c r="A17" s="278" t="s">
        <v>530</v>
      </c>
      <c r="B17" s="279"/>
      <c r="C17" s="280"/>
      <c r="D17" s="38" t="s">
        <v>1</v>
      </c>
      <c r="E17" s="276" t="s">
        <v>527</v>
      </c>
      <c r="F17" s="277"/>
      <c r="G17" s="38" t="s">
        <v>474</v>
      </c>
      <c r="H17" s="53" t="s">
        <v>598</v>
      </c>
      <c r="I17" s="53" t="s">
        <v>598</v>
      </c>
      <c r="J17" s="53" t="s">
        <v>598</v>
      </c>
      <c r="K17" s="53" t="s">
        <v>598</v>
      </c>
      <c r="L17" s="53" t="s">
        <v>598</v>
      </c>
      <c r="M17" s="53" t="s">
        <v>598</v>
      </c>
    </row>
    <row r="18" spans="1:13" s="11" customFormat="1" ht="13.5" customHeight="1">
      <c r="A18" s="293" t="s">
        <v>2</v>
      </c>
      <c r="B18" s="240" t="s">
        <v>379</v>
      </c>
      <c r="C18" s="258" t="s">
        <v>4</v>
      </c>
      <c r="D18" s="39">
        <v>1</v>
      </c>
      <c r="E18" s="249" t="s">
        <v>449</v>
      </c>
      <c r="F18" s="250"/>
      <c r="G18" s="70" t="s">
        <v>0</v>
      </c>
      <c r="H18" s="60" t="s">
        <v>0</v>
      </c>
      <c r="I18" s="60" t="s">
        <v>0</v>
      </c>
      <c r="J18" s="60" t="s">
        <v>0</v>
      </c>
      <c r="K18" s="60" t="s">
        <v>0</v>
      </c>
      <c r="L18" s="60" t="s">
        <v>0</v>
      </c>
      <c r="M18" s="60" t="s">
        <v>0</v>
      </c>
    </row>
    <row r="19" spans="1:13" s="11" customFormat="1" ht="13.5" customHeight="1">
      <c r="A19" s="294"/>
      <c r="B19" s="240"/>
      <c r="C19" s="259"/>
      <c r="D19" s="30">
        <v>2</v>
      </c>
      <c r="E19" s="251" t="s">
        <v>407</v>
      </c>
      <c r="F19" s="252"/>
      <c r="G19" s="71" t="s">
        <v>0</v>
      </c>
      <c r="H19" s="61" t="s">
        <v>0</v>
      </c>
      <c r="I19" s="61" t="s">
        <v>0</v>
      </c>
      <c r="J19" s="61" t="s">
        <v>0</v>
      </c>
      <c r="K19" s="61" t="s">
        <v>0</v>
      </c>
      <c r="L19" s="61" t="s">
        <v>0</v>
      </c>
      <c r="M19" s="61" t="s">
        <v>0</v>
      </c>
    </row>
    <row r="20" spans="1:13" s="11" customFormat="1" ht="13.5" customHeight="1" thickBot="1">
      <c r="A20" s="294"/>
      <c r="B20" s="240"/>
      <c r="C20" s="260"/>
      <c r="D20" s="40">
        <v>3</v>
      </c>
      <c r="E20" s="268" t="s">
        <v>408</v>
      </c>
      <c r="F20" s="269"/>
      <c r="G20" s="74" t="s">
        <v>6</v>
      </c>
      <c r="H20" s="62" t="s">
        <v>0</v>
      </c>
      <c r="I20" s="62" t="s">
        <v>0</v>
      </c>
      <c r="J20" s="62" t="s">
        <v>0</v>
      </c>
      <c r="K20" s="62" t="s">
        <v>0</v>
      </c>
      <c r="L20" s="62" t="s">
        <v>6</v>
      </c>
      <c r="M20" s="62" t="s">
        <v>0</v>
      </c>
    </row>
    <row r="21" spans="1:13" s="11" customFormat="1" ht="13.5" customHeight="1">
      <c r="A21" s="294"/>
      <c r="B21" s="240" t="s">
        <v>380</v>
      </c>
      <c r="C21" s="258" t="s">
        <v>450</v>
      </c>
      <c r="D21" s="39">
        <v>4</v>
      </c>
      <c r="E21" s="249" t="s">
        <v>409</v>
      </c>
      <c r="F21" s="250"/>
      <c r="G21" s="75" t="s">
        <v>0</v>
      </c>
      <c r="H21" s="72" t="s">
        <v>0</v>
      </c>
      <c r="I21" s="72" t="s">
        <v>6</v>
      </c>
      <c r="J21" s="72" t="s">
        <v>0</v>
      </c>
      <c r="K21" s="72" t="s">
        <v>448</v>
      </c>
      <c r="L21" s="72" t="s">
        <v>6</v>
      </c>
      <c r="M21" s="72" t="s">
        <v>0</v>
      </c>
    </row>
    <row r="22" spans="1:13" s="11" customFormat="1" ht="13.5" customHeight="1">
      <c r="A22" s="294"/>
      <c r="B22" s="240"/>
      <c r="C22" s="259"/>
      <c r="D22" s="30">
        <v>5</v>
      </c>
      <c r="E22" s="270" t="s">
        <v>412</v>
      </c>
      <c r="F22" s="271"/>
      <c r="G22" s="75" t="s">
        <v>0</v>
      </c>
      <c r="H22" s="61" t="s">
        <v>0</v>
      </c>
      <c r="I22" s="61" t="s">
        <v>6</v>
      </c>
      <c r="J22" s="61" t="s">
        <v>0</v>
      </c>
      <c r="K22" s="61" t="s">
        <v>448</v>
      </c>
      <c r="L22" s="61" t="s">
        <v>6</v>
      </c>
      <c r="M22" s="61" t="s">
        <v>0</v>
      </c>
    </row>
    <row r="23" spans="1:13" s="11" customFormat="1" ht="13.5" customHeight="1">
      <c r="A23" s="294"/>
      <c r="B23" s="240"/>
      <c r="C23" s="259"/>
      <c r="D23" s="30">
        <v>6</v>
      </c>
      <c r="E23" s="266" t="s">
        <v>411</v>
      </c>
      <c r="F23" s="267"/>
      <c r="G23" s="75" t="s">
        <v>6</v>
      </c>
      <c r="H23" s="63" t="s">
        <v>6</v>
      </c>
      <c r="I23" s="63" t="s">
        <v>6</v>
      </c>
      <c r="J23" s="63" t="s">
        <v>0</v>
      </c>
      <c r="K23" s="63" t="s">
        <v>448</v>
      </c>
      <c r="L23" s="63" t="s">
        <v>6</v>
      </c>
      <c r="M23" s="63" t="s">
        <v>0</v>
      </c>
    </row>
    <row r="24" spans="1:13" s="11" customFormat="1" ht="13.5" customHeight="1">
      <c r="A24" s="294"/>
      <c r="B24" s="240"/>
      <c r="C24" s="259"/>
      <c r="D24" s="30">
        <v>7</v>
      </c>
      <c r="E24" s="266" t="s">
        <v>410</v>
      </c>
      <c r="F24" s="267"/>
      <c r="G24" s="75" t="s">
        <v>6</v>
      </c>
      <c r="H24" s="63" t="s">
        <v>6</v>
      </c>
      <c r="I24" s="63" t="s">
        <v>6</v>
      </c>
      <c r="J24" s="63" t="s">
        <v>6</v>
      </c>
      <c r="K24" s="63" t="s">
        <v>448</v>
      </c>
      <c r="L24" s="63" t="s">
        <v>6</v>
      </c>
      <c r="M24" s="63" t="s">
        <v>0</v>
      </c>
    </row>
    <row r="25" spans="1:13" s="11" customFormat="1" ht="13.5" customHeight="1" thickBot="1">
      <c r="A25" s="294"/>
      <c r="B25" s="240"/>
      <c r="C25" s="260"/>
      <c r="D25" s="40">
        <v>8</v>
      </c>
      <c r="E25" s="268" t="s">
        <v>414</v>
      </c>
      <c r="F25" s="269"/>
      <c r="G25" s="75" t="s">
        <v>6</v>
      </c>
      <c r="H25" s="62" t="s">
        <v>6</v>
      </c>
      <c r="I25" s="62" t="s">
        <v>6</v>
      </c>
      <c r="J25" s="62" t="s">
        <v>0</v>
      </c>
      <c r="K25" s="62" t="s">
        <v>448</v>
      </c>
      <c r="L25" s="62" t="s">
        <v>6</v>
      </c>
      <c r="M25" s="62" t="s">
        <v>0</v>
      </c>
    </row>
    <row r="26" spans="1:13" s="11" customFormat="1" ht="13.5" customHeight="1">
      <c r="A26" s="294"/>
      <c r="B26" s="240" t="s">
        <v>381</v>
      </c>
      <c r="C26" s="258" t="s">
        <v>451</v>
      </c>
      <c r="D26" s="39">
        <v>9</v>
      </c>
      <c r="E26" s="249" t="s">
        <v>413</v>
      </c>
      <c r="F26" s="250"/>
      <c r="G26" s="70" t="s">
        <v>448</v>
      </c>
      <c r="H26" s="60" t="s">
        <v>448</v>
      </c>
      <c r="I26" s="60" t="s">
        <v>6</v>
      </c>
      <c r="J26" s="60" t="s">
        <v>448</v>
      </c>
      <c r="K26" s="60" t="s">
        <v>0</v>
      </c>
      <c r="L26" s="60" t="s">
        <v>6</v>
      </c>
      <c r="M26" s="60" t="s">
        <v>448</v>
      </c>
    </row>
    <row r="27" spans="1:13" s="11" customFormat="1" ht="13.5" customHeight="1">
      <c r="A27" s="294"/>
      <c r="B27" s="240"/>
      <c r="C27" s="259"/>
      <c r="D27" s="41">
        <v>10</v>
      </c>
      <c r="E27" s="253" t="s">
        <v>419</v>
      </c>
      <c r="F27" s="254"/>
      <c r="G27" s="71" t="s">
        <v>448</v>
      </c>
      <c r="H27" s="61" t="s">
        <v>448</v>
      </c>
      <c r="I27" s="61" t="s">
        <v>6</v>
      </c>
      <c r="J27" s="61" t="s">
        <v>448</v>
      </c>
      <c r="K27" s="61" t="s">
        <v>0</v>
      </c>
      <c r="L27" s="61" t="s">
        <v>6</v>
      </c>
      <c r="M27" s="61" t="s">
        <v>448</v>
      </c>
    </row>
    <row r="28" spans="1:13" s="11" customFormat="1" ht="13.5" customHeight="1">
      <c r="A28" s="294"/>
      <c r="B28" s="240"/>
      <c r="C28" s="259"/>
      <c r="D28" s="30">
        <v>11</v>
      </c>
      <c r="E28" s="253" t="s">
        <v>444</v>
      </c>
      <c r="F28" s="254"/>
      <c r="G28" s="71" t="s">
        <v>448</v>
      </c>
      <c r="H28" s="61" t="s">
        <v>448</v>
      </c>
      <c r="I28" s="61" t="s">
        <v>6</v>
      </c>
      <c r="J28" s="61" t="s">
        <v>448</v>
      </c>
      <c r="K28" s="61" t="s">
        <v>0</v>
      </c>
      <c r="L28" s="61" t="s">
        <v>6</v>
      </c>
      <c r="M28" s="61" t="s">
        <v>448</v>
      </c>
    </row>
    <row r="29" spans="1:13" s="11" customFormat="1" ht="13.5" customHeight="1">
      <c r="A29" s="294"/>
      <c r="B29" s="240"/>
      <c r="C29" s="259"/>
      <c r="D29" s="30">
        <v>12</v>
      </c>
      <c r="E29" s="253" t="s">
        <v>445</v>
      </c>
      <c r="F29" s="254"/>
      <c r="G29" s="71" t="s">
        <v>448</v>
      </c>
      <c r="H29" s="61" t="s">
        <v>448</v>
      </c>
      <c r="I29" s="61" t="s">
        <v>6</v>
      </c>
      <c r="J29" s="61" t="s">
        <v>448</v>
      </c>
      <c r="K29" s="61" t="s">
        <v>0</v>
      </c>
      <c r="L29" s="61" t="s">
        <v>6</v>
      </c>
      <c r="M29" s="61" t="s">
        <v>448</v>
      </c>
    </row>
    <row r="30" spans="1:13" s="11" customFormat="1" ht="13.5" customHeight="1">
      <c r="A30" s="294"/>
      <c r="B30" s="240"/>
      <c r="C30" s="259"/>
      <c r="D30" s="30">
        <v>13</v>
      </c>
      <c r="E30" s="261" t="s">
        <v>446</v>
      </c>
      <c r="F30" s="262"/>
      <c r="G30" s="71" t="s">
        <v>448</v>
      </c>
      <c r="H30" s="61" t="s">
        <v>448</v>
      </c>
      <c r="I30" s="61" t="s">
        <v>6</v>
      </c>
      <c r="J30" s="61" t="s">
        <v>448</v>
      </c>
      <c r="K30" s="61" t="s">
        <v>0</v>
      </c>
      <c r="L30" s="61" t="s">
        <v>6</v>
      </c>
      <c r="M30" s="61" t="s">
        <v>448</v>
      </c>
    </row>
    <row r="31" spans="1:13" s="11" customFormat="1" ht="13.5" customHeight="1" thickBot="1">
      <c r="A31" s="294"/>
      <c r="B31" s="240"/>
      <c r="C31" s="260"/>
      <c r="D31" s="40">
        <v>14</v>
      </c>
      <c r="E31" s="296" t="s">
        <v>447</v>
      </c>
      <c r="F31" s="297"/>
      <c r="G31" s="74" t="s">
        <v>448</v>
      </c>
      <c r="H31" s="62" t="s">
        <v>448</v>
      </c>
      <c r="I31" s="62" t="s">
        <v>6</v>
      </c>
      <c r="J31" s="62" t="s">
        <v>448</v>
      </c>
      <c r="K31" s="62" t="s">
        <v>0</v>
      </c>
      <c r="L31" s="62" t="s">
        <v>6</v>
      </c>
      <c r="M31" s="62" t="s">
        <v>448</v>
      </c>
    </row>
    <row r="32" spans="1:13" s="11" customFormat="1" ht="27" customHeight="1" thickBot="1">
      <c r="A32" s="295"/>
      <c r="B32" s="42" t="s">
        <v>382</v>
      </c>
      <c r="C32" s="43" t="s">
        <v>5</v>
      </c>
      <c r="D32" s="44">
        <v>15</v>
      </c>
      <c r="E32" s="298" t="s">
        <v>420</v>
      </c>
      <c r="F32" s="299"/>
      <c r="G32" s="76" t="s">
        <v>6</v>
      </c>
      <c r="H32" s="64" t="s">
        <v>6</v>
      </c>
      <c r="I32" s="64" t="s">
        <v>6</v>
      </c>
      <c r="J32" s="64" t="s">
        <v>6</v>
      </c>
      <c r="K32" s="64" t="s">
        <v>0</v>
      </c>
      <c r="L32" s="64" t="s">
        <v>6</v>
      </c>
      <c r="M32" s="64" t="s">
        <v>6</v>
      </c>
    </row>
    <row r="33" spans="1:13" s="11" customFormat="1" ht="13.5" customHeight="1" thickBot="1">
      <c r="A33" s="255" t="s">
        <v>7</v>
      </c>
      <c r="B33" s="247" t="s">
        <v>383</v>
      </c>
      <c r="C33" s="258" t="s">
        <v>8</v>
      </c>
      <c r="D33" s="39">
        <v>16</v>
      </c>
      <c r="E33" s="249" t="s">
        <v>409</v>
      </c>
      <c r="F33" s="250"/>
      <c r="G33" s="77" t="s">
        <v>0</v>
      </c>
      <c r="H33" s="65" t="s">
        <v>0</v>
      </c>
      <c r="I33" s="65" t="s">
        <v>0</v>
      </c>
      <c r="J33" s="65" t="s">
        <v>0</v>
      </c>
      <c r="K33" s="65" t="s">
        <v>0</v>
      </c>
      <c r="L33" s="65" t="s">
        <v>0</v>
      </c>
      <c r="M33" s="65" t="s">
        <v>0</v>
      </c>
    </row>
    <row r="34" spans="1:13" s="11" customFormat="1" ht="13.5" customHeight="1" thickBot="1">
      <c r="A34" s="256"/>
      <c r="B34" s="240"/>
      <c r="C34" s="259"/>
      <c r="D34" s="30">
        <v>17</v>
      </c>
      <c r="E34" s="251" t="s">
        <v>415</v>
      </c>
      <c r="F34" s="252"/>
      <c r="G34" s="77" t="s">
        <v>0</v>
      </c>
      <c r="H34" s="58" t="s">
        <v>0</v>
      </c>
      <c r="I34" s="58" t="s">
        <v>0</v>
      </c>
      <c r="J34" s="58" t="s">
        <v>0</v>
      </c>
      <c r="K34" s="58" t="s">
        <v>0</v>
      </c>
      <c r="L34" s="58" t="s">
        <v>0</v>
      </c>
      <c r="M34" s="58" t="s">
        <v>0</v>
      </c>
    </row>
    <row r="35" spans="1:13" s="11" customFormat="1" ht="13.5" customHeight="1" thickBot="1">
      <c r="A35" s="256"/>
      <c r="B35" s="240"/>
      <c r="C35" s="259"/>
      <c r="D35" s="30">
        <v>18</v>
      </c>
      <c r="E35" s="251" t="s">
        <v>416</v>
      </c>
      <c r="F35" s="252"/>
      <c r="G35" s="77" t="s">
        <v>0</v>
      </c>
      <c r="H35" s="58" t="s">
        <v>0</v>
      </c>
      <c r="I35" s="58" t="s">
        <v>0</v>
      </c>
      <c r="J35" s="58" t="s">
        <v>0</v>
      </c>
      <c r="K35" s="58" t="s">
        <v>0</v>
      </c>
      <c r="L35" s="58" t="s">
        <v>0</v>
      </c>
      <c r="M35" s="58" t="s">
        <v>0</v>
      </c>
    </row>
    <row r="36" spans="1:13" s="11" customFormat="1" ht="13.5" customHeight="1" thickBot="1">
      <c r="A36" s="256"/>
      <c r="B36" s="240"/>
      <c r="C36" s="259"/>
      <c r="D36" s="30">
        <v>19</v>
      </c>
      <c r="E36" s="251" t="s">
        <v>417</v>
      </c>
      <c r="F36" s="252"/>
      <c r="G36" s="77" t="s">
        <v>6</v>
      </c>
      <c r="H36" s="61" t="s">
        <v>6</v>
      </c>
      <c r="I36" s="61" t="s">
        <v>0</v>
      </c>
      <c r="J36" s="61" t="s">
        <v>6</v>
      </c>
      <c r="K36" s="61" t="s">
        <v>0</v>
      </c>
      <c r="L36" s="61" t="s">
        <v>6</v>
      </c>
      <c r="M36" s="61" t="s">
        <v>0</v>
      </c>
    </row>
    <row r="37" spans="1:13" s="11" customFormat="1" ht="13.5" customHeight="1" thickBot="1">
      <c r="A37" s="256"/>
      <c r="B37" s="240"/>
      <c r="C37" s="259"/>
      <c r="D37" s="30">
        <v>201</v>
      </c>
      <c r="E37" s="253" t="s">
        <v>438</v>
      </c>
      <c r="F37" s="254"/>
      <c r="G37" s="77" t="s">
        <v>6</v>
      </c>
      <c r="H37" s="61" t="s">
        <v>6</v>
      </c>
      <c r="I37" s="61" t="s">
        <v>6</v>
      </c>
      <c r="J37" s="61" t="s">
        <v>6</v>
      </c>
      <c r="K37" s="61" t="s">
        <v>6</v>
      </c>
      <c r="L37" s="61" t="s">
        <v>6</v>
      </c>
      <c r="M37" s="61" t="s">
        <v>0</v>
      </c>
    </row>
    <row r="38" spans="1:13" s="11" customFormat="1" ht="13.5" customHeight="1" thickBot="1">
      <c r="A38" s="256"/>
      <c r="B38" s="240"/>
      <c r="C38" s="259"/>
      <c r="D38" s="30">
        <v>202</v>
      </c>
      <c r="E38" s="253" t="s">
        <v>439</v>
      </c>
      <c r="F38" s="254"/>
      <c r="G38" s="77" t="s">
        <v>6</v>
      </c>
      <c r="H38" s="61" t="s">
        <v>6</v>
      </c>
      <c r="I38" s="61" t="s">
        <v>6</v>
      </c>
      <c r="J38" s="61" t="s">
        <v>6</v>
      </c>
      <c r="K38" s="61" t="s">
        <v>6</v>
      </c>
      <c r="L38" s="61" t="s">
        <v>6</v>
      </c>
      <c r="M38" s="61" t="s">
        <v>0</v>
      </c>
    </row>
    <row r="39" spans="1:13" s="11" customFormat="1" ht="13.5" customHeight="1" thickBot="1">
      <c r="A39" s="256"/>
      <c r="B39" s="240"/>
      <c r="C39" s="259"/>
      <c r="D39" s="30">
        <v>203</v>
      </c>
      <c r="E39" s="253" t="s">
        <v>440</v>
      </c>
      <c r="F39" s="254"/>
      <c r="G39" s="77" t="s">
        <v>6</v>
      </c>
      <c r="H39" s="61" t="s">
        <v>6</v>
      </c>
      <c r="I39" s="61" t="s">
        <v>6</v>
      </c>
      <c r="J39" s="61" t="s">
        <v>6</v>
      </c>
      <c r="K39" s="61" t="s">
        <v>6</v>
      </c>
      <c r="L39" s="61" t="s">
        <v>6</v>
      </c>
      <c r="M39" s="61" t="s">
        <v>6</v>
      </c>
    </row>
    <row r="40" spans="1:13" s="11" customFormat="1" ht="13.5" customHeight="1" thickBot="1">
      <c r="A40" s="256"/>
      <c r="B40" s="240"/>
      <c r="C40" s="259"/>
      <c r="D40" s="30">
        <v>204</v>
      </c>
      <c r="E40" s="253" t="s">
        <v>441</v>
      </c>
      <c r="F40" s="254"/>
      <c r="G40" s="77" t="s">
        <v>6</v>
      </c>
      <c r="H40" s="61" t="s">
        <v>6</v>
      </c>
      <c r="I40" s="61" t="s">
        <v>6</v>
      </c>
      <c r="J40" s="61" t="s">
        <v>6</v>
      </c>
      <c r="K40" s="61" t="s">
        <v>6</v>
      </c>
      <c r="L40" s="61" t="s">
        <v>6</v>
      </c>
      <c r="M40" s="61" t="s">
        <v>0</v>
      </c>
    </row>
    <row r="41" spans="1:13" s="11" customFormat="1" ht="13.5" customHeight="1" thickBot="1">
      <c r="A41" s="256"/>
      <c r="B41" s="240"/>
      <c r="C41" s="259"/>
      <c r="D41" s="30">
        <v>205</v>
      </c>
      <c r="E41" s="253" t="s">
        <v>442</v>
      </c>
      <c r="F41" s="254"/>
      <c r="G41" s="77" t="s">
        <v>6</v>
      </c>
      <c r="H41" s="61" t="s">
        <v>6</v>
      </c>
      <c r="I41" s="61" t="s">
        <v>6</v>
      </c>
      <c r="J41" s="61" t="s">
        <v>6</v>
      </c>
      <c r="K41" s="61" t="s">
        <v>6</v>
      </c>
      <c r="L41" s="61" t="s">
        <v>6</v>
      </c>
      <c r="M41" s="61" t="s">
        <v>6</v>
      </c>
    </row>
    <row r="42" spans="1:13" s="11" customFormat="1" ht="13.5" customHeight="1" thickBot="1">
      <c r="A42" s="256"/>
      <c r="B42" s="240"/>
      <c r="C42" s="259"/>
      <c r="D42" s="30">
        <v>206</v>
      </c>
      <c r="E42" s="253" t="s">
        <v>443</v>
      </c>
      <c r="F42" s="254"/>
      <c r="G42" s="77" t="s">
        <v>6</v>
      </c>
      <c r="H42" s="61" t="s">
        <v>6</v>
      </c>
      <c r="I42" s="61" t="s">
        <v>6</v>
      </c>
      <c r="J42" s="61" t="s">
        <v>6</v>
      </c>
      <c r="K42" s="61" t="s">
        <v>6</v>
      </c>
      <c r="L42" s="61" t="s">
        <v>6</v>
      </c>
      <c r="M42" s="61" t="s">
        <v>6</v>
      </c>
    </row>
    <row r="43" spans="1:13" s="11" customFormat="1" ht="13.5" customHeight="1" thickBot="1">
      <c r="A43" s="256"/>
      <c r="B43" s="240"/>
      <c r="C43" s="260"/>
      <c r="D43" s="40">
        <v>21</v>
      </c>
      <c r="E43" s="268" t="s">
        <v>421</v>
      </c>
      <c r="F43" s="269"/>
      <c r="G43" s="77" t="s">
        <v>6</v>
      </c>
      <c r="H43" s="62" t="s">
        <v>6</v>
      </c>
      <c r="I43" s="62" t="s">
        <v>6</v>
      </c>
      <c r="J43" s="62" t="s">
        <v>6</v>
      </c>
      <c r="K43" s="62" t="s">
        <v>0</v>
      </c>
      <c r="L43" s="62" t="s">
        <v>0</v>
      </c>
      <c r="M43" s="62" t="s">
        <v>0</v>
      </c>
    </row>
    <row r="44" spans="1:13" s="11" customFormat="1" ht="13.5" customHeight="1">
      <c r="A44" s="256"/>
      <c r="B44" s="240" t="s">
        <v>384</v>
      </c>
      <c r="C44" s="258" t="s">
        <v>9</v>
      </c>
      <c r="D44" s="39">
        <v>22</v>
      </c>
      <c r="E44" s="249" t="s">
        <v>418</v>
      </c>
      <c r="F44" s="250"/>
      <c r="G44" s="70" t="s">
        <v>448</v>
      </c>
      <c r="H44" s="60" t="s">
        <v>448</v>
      </c>
      <c r="I44" s="60" t="s">
        <v>0</v>
      </c>
      <c r="J44" s="60" t="s">
        <v>448</v>
      </c>
      <c r="K44" s="60" t="s">
        <v>0</v>
      </c>
      <c r="L44" s="60" t="s">
        <v>448</v>
      </c>
      <c r="M44" s="60" t="s">
        <v>448</v>
      </c>
    </row>
    <row r="45" spans="1:13" s="11" customFormat="1" ht="27" customHeight="1">
      <c r="A45" s="256"/>
      <c r="B45" s="240"/>
      <c r="C45" s="259"/>
      <c r="D45" s="30">
        <v>23</v>
      </c>
      <c r="E45" s="253" t="s">
        <v>422</v>
      </c>
      <c r="F45" s="254"/>
      <c r="G45" s="71" t="s">
        <v>448</v>
      </c>
      <c r="H45" s="61" t="s">
        <v>448</v>
      </c>
      <c r="I45" s="61" t="s">
        <v>0</v>
      </c>
      <c r="J45" s="61" t="s">
        <v>448</v>
      </c>
      <c r="K45" s="61" t="s">
        <v>0</v>
      </c>
      <c r="L45" s="61" t="s">
        <v>448</v>
      </c>
      <c r="M45" s="61" t="s">
        <v>448</v>
      </c>
    </row>
    <row r="46" spans="1:13" s="11" customFormat="1" ht="27" customHeight="1">
      <c r="A46" s="256"/>
      <c r="B46" s="240"/>
      <c r="C46" s="259"/>
      <c r="D46" s="30">
        <v>24</v>
      </c>
      <c r="E46" s="253" t="s">
        <v>423</v>
      </c>
      <c r="F46" s="254"/>
      <c r="G46" s="71" t="s">
        <v>448</v>
      </c>
      <c r="H46" s="61" t="s">
        <v>448</v>
      </c>
      <c r="I46" s="61" t="s">
        <v>0</v>
      </c>
      <c r="J46" s="61" t="s">
        <v>448</v>
      </c>
      <c r="K46" s="61" t="s">
        <v>0</v>
      </c>
      <c r="L46" s="61" t="s">
        <v>448</v>
      </c>
      <c r="M46" s="61" t="s">
        <v>448</v>
      </c>
    </row>
    <row r="47" spans="1:13" s="11" customFormat="1" ht="13.5" customHeight="1">
      <c r="A47" s="256"/>
      <c r="B47" s="240"/>
      <c r="C47" s="259"/>
      <c r="D47" s="30">
        <v>25</v>
      </c>
      <c r="E47" s="253" t="s">
        <v>424</v>
      </c>
      <c r="F47" s="254"/>
      <c r="G47" s="71" t="s">
        <v>448</v>
      </c>
      <c r="H47" s="61" t="s">
        <v>448</v>
      </c>
      <c r="I47" s="61" t="s">
        <v>0</v>
      </c>
      <c r="J47" s="61" t="s">
        <v>448</v>
      </c>
      <c r="K47" s="61" t="s">
        <v>0</v>
      </c>
      <c r="L47" s="61" t="s">
        <v>448</v>
      </c>
      <c r="M47" s="61" t="s">
        <v>448</v>
      </c>
    </row>
    <row r="48" spans="1:13" s="11" customFormat="1" ht="13.5" customHeight="1">
      <c r="A48" s="256"/>
      <c r="B48" s="240"/>
      <c r="C48" s="259"/>
      <c r="D48" s="30">
        <v>26</v>
      </c>
      <c r="E48" s="253" t="s">
        <v>444</v>
      </c>
      <c r="F48" s="254"/>
      <c r="G48" s="71" t="s">
        <v>448</v>
      </c>
      <c r="H48" s="61" t="s">
        <v>448</v>
      </c>
      <c r="I48" s="61" t="s">
        <v>0</v>
      </c>
      <c r="J48" s="61" t="s">
        <v>448</v>
      </c>
      <c r="K48" s="61" t="s">
        <v>0</v>
      </c>
      <c r="L48" s="61" t="s">
        <v>448</v>
      </c>
      <c r="M48" s="61" t="s">
        <v>448</v>
      </c>
    </row>
    <row r="49" spans="1:13" s="11" customFormat="1" ht="13.5" customHeight="1">
      <c r="A49" s="256"/>
      <c r="B49" s="240"/>
      <c r="C49" s="259"/>
      <c r="D49" s="30">
        <v>27</v>
      </c>
      <c r="E49" s="253" t="s">
        <v>445</v>
      </c>
      <c r="F49" s="254"/>
      <c r="G49" s="71" t="s">
        <v>448</v>
      </c>
      <c r="H49" s="61" t="s">
        <v>448</v>
      </c>
      <c r="I49" s="61" t="s">
        <v>0</v>
      </c>
      <c r="J49" s="61" t="s">
        <v>448</v>
      </c>
      <c r="K49" s="61" t="s">
        <v>0</v>
      </c>
      <c r="L49" s="61" t="s">
        <v>448</v>
      </c>
      <c r="M49" s="61" t="s">
        <v>448</v>
      </c>
    </row>
    <row r="50" spans="1:13" s="11" customFormat="1" ht="13.5" customHeight="1">
      <c r="A50" s="256"/>
      <c r="B50" s="240"/>
      <c r="C50" s="259"/>
      <c r="D50" s="30">
        <v>28</v>
      </c>
      <c r="E50" s="261" t="s">
        <v>446</v>
      </c>
      <c r="F50" s="262"/>
      <c r="G50" s="71" t="s">
        <v>448</v>
      </c>
      <c r="H50" s="61" t="s">
        <v>448</v>
      </c>
      <c r="I50" s="61" t="s">
        <v>0</v>
      </c>
      <c r="J50" s="61" t="s">
        <v>448</v>
      </c>
      <c r="K50" s="61" t="s">
        <v>0</v>
      </c>
      <c r="L50" s="61" t="s">
        <v>448</v>
      </c>
      <c r="M50" s="61" t="s">
        <v>448</v>
      </c>
    </row>
    <row r="51" spans="1:13" s="11" customFormat="1" ht="13.5" customHeight="1">
      <c r="A51" s="256"/>
      <c r="B51" s="240"/>
      <c r="C51" s="259"/>
      <c r="D51" s="30">
        <v>29</v>
      </c>
      <c r="E51" s="261" t="s">
        <v>447</v>
      </c>
      <c r="F51" s="262"/>
      <c r="G51" s="71" t="s">
        <v>448</v>
      </c>
      <c r="H51" s="61" t="s">
        <v>448</v>
      </c>
      <c r="I51" s="61" t="s">
        <v>0</v>
      </c>
      <c r="J51" s="61" t="s">
        <v>448</v>
      </c>
      <c r="K51" s="61" t="s">
        <v>0</v>
      </c>
      <c r="L51" s="61" t="s">
        <v>448</v>
      </c>
      <c r="M51" s="61" t="s">
        <v>448</v>
      </c>
    </row>
    <row r="52" spans="1:13" s="11" customFormat="1" ht="27" customHeight="1" thickBot="1">
      <c r="A52" s="257"/>
      <c r="B52" s="248"/>
      <c r="C52" s="260"/>
      <c r="D52" s="40">
        <v>30</v>
      </c>
      <c r="E52" s="268" t="s">
        <v>425</v>
      </c>
      <c r="F52" s="269"/>
      <c r="G52" s="74" t="s">
        <v>448</v>
      </c>
      <c r="H52" s="62" t="s">
        <v>448</v>
      </c>
      <c r="I52" s="62" t="s">
        <v>448</v>
      </c>
      <c r="J52" s="62" t="s">
        <v>448</v>
      </c>
      <c r="K52" s="62" t="s">
        <v>0</v>
      </c>
      <c r="L52" s="62" t="s">
        <v>448</v>
      </c>
      <c r="M52" s="62" t="s">
        <v>448</v>
      </c>
    </row>
    <row r="53" spans="1:13" s="11" customFormat="1" ht="13.5" customHeight="1">
      <c r="A53" s="263" t="s">
        <v>16</v>
      </c>
      <c r="B53" s="240" t="s">
        <v>385</v>
      </c>
      <c r="C53" s="258" t="s">
        <v>17</v>
      </c>
      <c r="D53" s="39">
        <v>31</v>
      </c>
      <c r="E53" s="249" t="s">
        <v>426</v>
      </c>
      <c r="F53" s="250" t="s">
        <v>452</v>
      </c>
      <c r="G53" s="78" t="s">
        <v>0</v>
      </c>
      <c r="H53" s="66" t="s">
        <v>0</v>
      </c>
      <c r="I53" s="66" t="s">
        <v>448</v>
      </c>
      <c r="J53" s="66" t="s">
        <v>0</v>
      </c>
      <c r="K53" s="66" t="s">
        <v>448</v>
      </c>
      <c r="L53" s="66" t="s">
        <v>0</v>
      </c>
      <c r="M53" s="66" t="s">
        <v>0</v>
      </c>
    </row>
    <row r="54" spans="1:13" s="11" customFormat="1" ht="13.5" customHeight="1">
      <c r="A54" s="264"/>
      <c r="B54" s="240"/>
      <c r="C54" s="259"/>
      <c r="D54" s="30">
        <v>32</v>
      </c>
      <c r="E54" s="253" t="s">
        <v>427</v>
      </c>
      <c r="F54" s="254" t="s">
        <v>10</v>
      </c>
      <c r="G54" s="79" t="s">
        <v>0</v>
      </c>
      <c r="H54" s="67" t="s">
        <v>0</v>
      </c>
      <c r="I54" s="67" t="s">
        <v>448</v>
      </c>
      <c r="J54" s="67" t="s">
        <v>0</v>
      </c>
      <c r="K54" s="67" t="s">
        <v>448</v>
      </c>
      <c r="L54" s="67" t="s">
        <v>0</v>
      </c>
      <c r="M54" s="67" t="s">
        <v>0</v>
      </c>
    </row>
    <row r="55" spans="1:13" s="11" customFormat="1" ht="13.5" customHeight="1">
      <c r="A55" s="264"/>
      <c r="B55" s="240"/>
      <c r="C55" s="259"/>
      <c r="D55" s="30">
        <v>33</v>
      </c>
      <c r="E55" s="253" t="s">
        <v>428</v>
      </c>
      <c r="F55" s="254" t="s">
        <v>21</v>
      </c>
      <c r="G55" s="79" t="s">
        <v>0</v>
      </c>
      <c r="H55" s="67" t="s">
        <v>0</v>
      </c>
      <c r="I55" s="67" t="s">
        <v>448</v>
      </c>
      <c r="J55" s="67" t="s">
        <v>0</v>
      </c>
      <c r="K55" s="67" t="s">
        <v>448</v>
      </c>
      <c r="L55" s="67" t="s">
        <v>6</v>
      </c>
      <c r="M55" s="67" t="s">
        <v>6</v>
      </c>
    </row>
    <row r="56" spans="1:13" s="11" customFormat="1" ht="27" customHeight="1">
      <c r="A56" s="264"/>
      <c r="B56" s="240"/>
      <c r="C56" s="259"/>
      <c r="D56" s="30">
        <v>34</v>
      </c>
      <c r="E56" s="251" t="s">
        <v>429</v>
      </c>
      <c r="F56" s="252" t="s">
        <v>11</v>
      </c>
      <c r="G56" s="79" t="s">
        <v>0</v>
      </c>
      <c r="H56" s="67" t="s">
        <v>0</v>
      </c>
      <c r="I56" s="67" t="s">
        <v>448</v>
      </c>
      <c r="J56" s="67" t="s">
        <v>0</v>
      </c>
      <c r="K56" s="67" t="s">
        <v>448</v>
      </c>
      <c r="L56" s="67" t="s">
        <v>6</v>
      </c>
      <c r="M56" s="67" t="s">
        <v>0</v>
      </c>
    </row>
    <row r="57" spans="1:13" s="11" customFormat="1" ht="13.5" customHeight="1" thickBot="1">
      <c r="A57" s="264"/>
      <c r="B57" s="240"/>
      <c r="C57" s="260"/>
      <c r="D57" s="40">
        <v>35</v>
      </c>
      <c r="E57" s="268" t="s">
        <v>430</v>
      </c>
      <c r="F57" s="269" t="s">
        <v>12</v>
      </c>
      <c r="G57" s="80" t="s">
        <v>6</v>
      </c>
      <c r="H57" s="68" t="s">
        <v>6</v>
      </c>
      <c r="I57" s="68" t="s">
        <v>448</v>
      </c>
      <c r="J57" s="68" t="s">
        <v>0</v>
      </c>
      <c r="K57" s="68" t="s">
        <v>448</v>
      </c>
      <c r="L57" s="68" t="s">
        <v>6</v>
      </c>
      <c r="M57" s="68" t="s">
        <v>6</v>
      </c>
    </row>
    <row r="58" spans="1:13" s="11" customFormat="1" ht="13.5" customHeight="1">
      <c r="A58" s="264"/>
      <c r="B58" s="240" t="s">
        <v>386</v>
      </c>
      <c r="C58" s="258" t="s">
        <v>18</v>
      </c>
      <c r="D58" s="39">
        <v>36</v>
      </c>
      <c r="E58" s="249" t="s">
        <v>431</v>
      </c>
      <c r="F58" s="250">
        <v>0.95</v>
      </c>
      <c r="G58" s="70" t="s">
        <v>448</v>
      </c>
      <c r="H58" s="60" t="s">
        <v>448</v>
      </c>
      <c r="I58" s="60" t="s">
        <v>0</v>
      </c>
      <c r="J58" s="60" t="s">
        <v>448</v>
      </c>
      <c r="K58" s="60" t="s">
        <v>0</v>
      </c>
      <c r="L58" s="60" t="s">
        <v>448</v>
      </c>
      <c r="M58" s="60" t="s">
        <v>448</v>
      </c>
    </row>
    <row r="59" spans="1:13" s="11" customFormat="1" ht="13.5" customHeight="1">
      <c r="A59" s="264"/>
      <c r="B59" s="240"/>
      <c r="C59" s="259"/>
      <c r="D59" s="30">
        <v>37</v>
      </c>
      <c r="E59" s="274" t="s">
        <v>435</v>
      </c>
      <c r="F59" s="275">
        <v>0.99</v>
      </c>
      <c r="G59" s="75" t="s">
        <v>448</v>
      </c>
      <c r="H59" s="63" t="s">
        <v>448</v>
      </c>
      <c r="I59" s="63" t="s">
        <v>0</v>
      </c>
      <c r="J59" s="63" t="s">
        <v>448</v>
      </c>
      <c r="K59" s="63" t="s">
        <v>0</v>
      </c>
      <c r="L59" s="63" t="s">
        <v>448</v>
      </c>
      <c r="M59" s="63" t="s">
        <v>448</v>
      </c>
    </row>
    <row r="60" spans="1:13" s="11" customFormat="1" ht="13.5" customHeight="1">
      <c r="A60" s="264"/>
      <c r="B60" s="240"/>
      <c r="C60" s="259"/>
      <c r="D60" s="30">
        <v>38</v>
      </c>
      <c r="E60" s="274" t="s">
        <v>434</v>
      </c>
      <c r="F60" s="275" t="s">
        <v>13</v>
      </c>
      <c r="G60" s="75" t="s">
        <v>448</v>
      </c>
      <c r="H60" s="63" t="s">
        <v>448</v>
      </c>
      <c r="I60" s="63" t="s">
        <v>6</v>
      </c>
      <c r="J60" s="63" t="s">
        <v>448</v>
      </c>
      <c r="K60" s="63" t="s">
        <v>6</v>
      </c>
      <c r="L60" s="63" t="s">
        <v>448</v>
      </c>
      <c r="M60" s="63" t="s">
        <v>448</v>
      </c>
    </row>
    <row r="61" spans="1:13" s="11" customFormat="1" ht="13.5" customHeight="1" thickBot="1">
      <c r="A61" s="264"/>
      <c r="B61" s="240"/>
      <c r="C61" s="260"/>
      <c r="D61" s="40">
        <v>39</v>
      </c>
      <c r="E61" s="283" t="s">
        <v>436</v>
      </c>
      <c r="F61" s="284">
        <v>0.7</v>
      </c>
      <c r="G61" s="74" t="s">
        <v>448</v>
      </c>
      <c r="H61" s="62" t="s">
        <v>448</v>
      </c>
      <c r="I61" s="62" t="s">
        <v>0</v>
      </c>
      <c r="J61" s="62" t="s">
        <v>448</v>
      </c>
      <c r="K61" s="62" t="s">
        <v>0</v>
      </c>
      <c r="L61" s="62" t="s">
        <v>448</v>
      </c>
      <c r="M61" s="62" t="s">
        <v>448</v>
      </c>
    </row>
    <row r="62" spans="1:13" s="11" customFormat="1" ht="27" customHeight="1">
      <c r="A62" s="264"/>
      <c r="B62" s="240" t="s">
        <v>387</v>
      </c>
      <c r="C62" s="258" t="s">
        <v>19</v>
      </c>
      <c r="D62" s="39">
        <v>40</v>
      </c>
      <c r="E62" s="290" t="s">
        <v>437</v>
      </c>
      <c r="F62" s="291">
        <v>0.99</v>
      </c>
      <c r="G62" s="81" t="s">
        <v>6</v>
      </c>
      <c r="H62" s="60" t="s">
        <v>6</v>
      </c>
      <c r="I62" s="60" t="s">
        <v>6</v>
      </c>
      <c r="J62" s="60" t="s">
        <v>6</v>
      </c>
      <c r="K62" s="60" t="s">
        <v>6</v>
      </c>
      <c r="L62" s="60" t="s">
        <v>6</v>
      </c>
      <c r="M62" s="60" t="s">
        <v>6</v>
      </c>
    </row>
    <row r="63" spans="1:13" s="11" customFormat="1" ht="27" customHeight="1" thickBot="1">
      <c r="A63" s="264"/>
      <c r="B63" s="240"/>
      <c r="C63" s="260"/>
      <c r="D63" s="40">
        <v>41</v>
      </c>
      <c r="E63" s="292" t="s">
        <v>432</v>
      </c>
      <c r="F63" s="292" t="s">
        <v>14</v>
      </c>
      <c r="G63" s="82" t="s">
        <v>0</v>
      </c>
      <c r="H63" s="62" t="s">
        <v>0</v>
      </c>
      <c r="I63" s="62" t="s">
        <v>6</v>
      </c>
      <c r="J63" s="62" t="s">
        <v>0</v>
      </c>
      <c r="K63" s="62" t="s">
        <v>6</v>
      </c>
      <c r="L63" s="62" t="s">
        <v>6</v>
      </c>
      <c r="M63" s="62" t="s">
        <v>0</v>
      </c>
    </row>
    <row r="64" spans="1:13" s="11" customFormat="1" ht="27" customHeight="1" thickBot="1">
      <c r="A64" s="265"/>
      <c r="B64" s="42" t="s">
        <v>388</v>
      </c>
      <c r="C64" s="45" t="s">
        <v>20</v>
      </c>
      <c r="D64" s="44">
        <v>42</v>
      </c>
      <c r="E64" s="281" t="s">
        <v>433</v>
      </c>
      <c r="F64" s="282" t="s">
        <v>15</v>
      </c>
      <c r="G64" s="76" t="s">
        <v>0</v>
      </c>
      <c r="H64" s="64" t="s">
        <v>0</v>
      </c>
      <c r="I64" s="64" t="s">
        <v>0</v>
      </c>
      <c r="J64" s="64" t="s">
        <v>0</v>
      </c>
      <c r="K64" s="64" t="s">
        <v>0</v>
      </c>
      <c r="L64" s="64" t="s">
        <v>0</v>
      </c>
      <c r="M64" s="64" t="s">
        <v>0</v>
      </c>
    </row>
    <row r="65" spans="1:13" s="10" customFormat="1">
      <c r="A65" s="46"/>
      <c r="B65" s="47"/>
      <c r="C65" s="48"/>
      <c r="D65" s="49"/>
      <c r="E65" s="49"/>
      <c r="F65" s="49"/>
      <c r="H65" s="69"/>
      <c r="I65" s="69"/>
      <c r="J65" s="69"/>
      <c r="K65" s="69"/>
      <c r="L65" s="69"/>
      <c r="M65" s="69"/>
    </row>
  </sheetData>
  <sheetProtection algorithmName="SHA-512" hashValue="TlzCwysvJ2ktDGYNZzOmFIKATTgT0qKCLIuHWxrwraB5X3tLmhWuBG6+GKssQkn8W+PXrJIh6fNsFNI1gY+V6w==" saltValue="7E/M2+QYKsuFdoqTCY3GTQ==" spinCount="100000" sheet="1" objects="1" scenarios="1" formatCells="0"/>
  <mergeCells count="73">
    <mergeCell ref="F9:G9"/>
    <mergeCell ref="A16:F16"/>
    <mergeCell ref="A3:F3"/>
    <mergeCell ref="E62:F62"/>
    <mergeCell ref="E63:F63"/>
    <mergeCell ref="E24:F24"/>
    <mergeCell ref="E27:F27"/>
    <mergeCell ref="A4:E15"/>
    <mergeCell ref="A18:A32"/>
    <mergeCell ref="B18:B20"/>
    <mergeCell ref="B21:B25"/>
    <mergeCell ref="B26:B31"/>
    <mergeCell ref="E29:F29"/>
    <mergeCell ref="E31:F31"/>
    <mergeCell ref="E32:F32"/>
    <mergeCell ref="E28:F28"/>
    <mergeCell ref="E64:F64"/>
    <mergeCell ref="E61:F61"/>
    <mergeCell ref="E43:F43"/>
    <mergeCell ref="E44:F44"/>
    <mergeCell ref="E38:F38"/>
    <mergeCell ref="E39:F39"/>
    <mergeCell ref="E40:F40"/>
    <mergeCell ref="E41:F41"/>
    <mergeCell ref="E42:F42"/>
    <mergeCell ref="E47:F47"/>
    <mergeCell ref="E60:F60"/>
    <mergeCell ref="E53:F53"/>
    <mergeCell ref="E54:F54"/>
    <mergeCell ref="E55:F55"/>
    <mergeCell ref="E56:F56"/>
    <mergeCell ref="A1:G1"/>
    <mergeCell ref="E57:F57"/>
    <mergeCell ref="E58:F58"/>
    <mergeCell ref="E59:F59"/>
    <mergeCell ref="E45:F45"/>
    <mergeCell ref="E46:F46"/>
    <mergeCell ref="E49:F49"/>
    <mergeCell ref="E51:F51"/>
    <mergeCell ref="E35:F35"/>
    <mergeCell ref="E36:F36"/>
    <mergeCell ref="E18:F18"/>
    <mergeCell ref="E17:F17"/>
    <mergeCell ref="E19:F19"/>
    <mergeCell ref="E20:F20"/>
    <mergeCell ref="A17:C17"/>
    <mergeCell ref="E52:F52"/>
    <mergeCell ref="E30:F30"/>
    <mergeCell ref="C18:C20"/>
    <mergeCell ref="C21:C25"/>
    <mergeCell ref="C26:C31"/>
    <mergeCell ref="E21:F21"/>
    <mergeCell ref="E23:F23"/>
    <mergeCell ref="E25:F25"/>
    <mergeCell ref="E26:F26"/>
    <mergeCell ref="E22:F22"/>
    <mergeCell ref="A53:A64"/>
    <mergeCell ref="C58:C61"/>
    <mergeCell ref="C62:C63"/>
    <mergeCell ref="C53:C57"/>
    <mergeCell ref="B53:B57"/>
    <mergeCell ref="B58:B61"/>
    <mergeCell ref="B62:B63"/>
    <mergeCell ref="E33:F33"/>
    <mergeCell ref="E34:F34"/>
    <mergeCell ref="E37:F37"/>
    <mergeCell ref="A33:A52"/>
    <mergeCell ref="B33:B43"/>
    <mergeCell ref="B44:B52"/>
    <mergeCell ref="E48:F48"/>
    <mergeCell ref="C33:C43"/>
    <mergeCell ref="C44:C52"/>
    <mergeCell ref="E50:F50"/>
  </mergeCells>
  <phoneticPr fontId="6" type="noConversion"/>
  <dataValidations count="5">
    <dataValidation type="list" allowBlank="1" showInputMessage="1" showErrorMessage="1" errorTitle="Invalid Input" error="The value of input must be one of given values." sqref="G18:G65">
      <formula1>INDIRECT("item"&amp;$D18)</formula1>
    </dataValidation>
    <dataValidation type="list" allowBlank="1" showInputMessage="1" showErrorMessage="1" errorTitle="Invalid Input" error="The value of input must be one of given values." sqref="G12">
      <formula1>INDIRECT("listOfYear")</formula1>
    </dataValidation>
    <dataValidation type="list" allowBlank="1" showInputMessage="1" showErrorMessage="1" errorTitle="Invalid Input" error="The value of input must be one of given values." sqref="G13">
      <formula1>INDIRECT("listOfParasite")</formula1>
    </dataValidation>
    <dataValidation type="list" allowBlank="1" showInputMessage="1" showErrorMessage="1" errorTitle="Invalid Input" error="The value of input must be one of given values." sqref="G14">
      <formula1>INDIRECT("listOfDisease")</formula1>
    </dataValidation>
    <dataValidation type="list" allowBlank="1" showInputMessage="1" showErrorMessage="1" errorTitle="Invalid Input" error="The value of input must be one of given values." sqref="G15">
      <formula1>INDIRECT("listOfModel")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99" r:id="rId4" name="CommandButton5">
          <controlPr defaultSize="0" autoFill="0" autoLine="0" r:id="rId5">
            <anchor>
              <from>
                <xdr:col>6</xdr:col>
                <xdr:colOff>1073150</xdr:colOff>
                <xdr:row>1</xdr:row>
                <xdr:rowOff>25400</xdr:rowOff>
              </from>
              <to>
                <xdr:col>6</xdr:col>
                <xdr:colOff>1441450</xdr:colOff>
                <xdr:row>1</xdr:row>
                <xdr:rowOff>311150</xdr:rowOff>
              </to>
            </anchor>
          </controlPr>
        </control>
      </mc:Choice>
      <mc:Fallback>
        <control shapeId="3199" r:id="rId4" name="CommandButton5"/>
      </mc:Fallback>
    </mc:AlternateContent>
    <mc:AlternateContent xmlns:mc="http://schemas.openxmlformats.org/markup-compatibility/2006">
      <mc:Choice Requires="x14">
        <control shapeId="3153" r:id="rId6" name="CommandButton4">
          <controlPr defaultSize="0" autoFill="0" autoLine="0" r:id="rId7">
            <anchor>
              <from>
                <xdr:col>5</xdr:col>
                <xdr:colOff>184150</xdr:colOff>
                <xdr:row>1</xdr:row>
                <xdr:rowOff>25400</xdr:rowOff>
              </from>
              <to>
                <xdr:col>5</xdr:col>
                <xdr:colOff>1517650</xdr:colOff>
                <xdr:row>1</xdr:row>
                <xdr:rowOff>311150</xdr:rowOff>
              </to>
            </anchor>
          </controlPr>
        </control>
      </mc:Choice>
      <mc:Fallback>
        <control shapeId="3153" r:id="rId6" name="CommandButton4"/>
      </mc:Fallback>
    </mc:AlternateContent>
    <mc:AlternateContent xmlns:mc="http://schemas.openxmlformats.org/markup-compatibility/2006">
      <mc:Choice Requires="x14">
        <control shapeId="3152" r:id="rId8" name="CommandButton3">
          <controlPr defaultSize="0" autoFill="0" autoLine="0" r:id="rId9">
            <anchor>
              <from>
                <xdr:col>4</xdr:col>
                <xdr:colOff>876300</xdr:colOff>
                <xdr:row>1</xdr:row>
                <xdr:rowOff>25400</xdr:rowOff>
              </from>
              <to>
                <xdr:col>5</xdr:col>
                <xdr:colOff>88900</xdr:colOff>
                <xdr:row>1</xdr:row>
                <xdr:rowOff>311150</xdr:rowOff>
              </to>
            </anchor>
          </controlPr>
        </control>
      </mc:Choice>
      <mc:Fallback>
        <control shapeId="3152" r:id="rId8" name="CommandButton3"/>
      </mc:Fallback>
    </mc:AlternateContent>
    <mc:AlternateContent xmlns:mc="http://schemas.openxmlformats.org/markup-compatibility/2006">
      <mc:Choice Requires="x14">
        <control shapeId="3151" r:id="rId10" name="CommandButton2">
          <controlPr defaultSize="0" autoFill="0" autoLine="0" r:id="rId11">
            <anchor>
              <from>
                <xdr:col>3</xdr:col>
                <xdr:colOff>25400</xdr:colOff>
                <xdr:row>1</xdr:row>
                <xdr:rowOff>25400</xdr:rowOff>
              </from>
              <to>
                <xdr:col>4</xdr:col>
                <xdr:colOff>781050</xdr:colOff>
                <xdr:row>1</xdr:row>
                <xdr:rowOff>311150</xdr:rowOff>
              </to>
            </anchor>
          </controlPr>
        </control>
      </mc:Choice>
      <mc:Fallback>
        <control shapeId="3151" r:id="rId10" name="CommandButton2"/>
      </mc:Fallback>
    </mc:AlternateContent>
    <mc:AlternateContent xmlns:mc="http://schemas.openxmlformats.org/markup-compatibility/2006">
      <mc:Choice Requires="x14">
        <control shapeId="3149" r:id="rId12" name="CommandButton1">
          <controlPr defaultSize="0" autoFill="0" autoLine="0" r:id="rId13">
            <anchor>
              <from>
                <xdr:col>0</xdr:col>
                <xdr:colOff>31750</xdr:colOff>
                <xdr:row>1</xdr:row>
                <xdr:rowOff>25400</xdr:rowOff>
              </from>
              <to>
                <xdr:col>2</xdr:col>
                <xdr:colOff>755650</xdr:colOff>
                <xdr:row>1</xdr:row>
                <xdr:rowOff>311150</xdr:rowOff>
              </to>
            </anchor>
          </controlPr>
        </control>
      </mc:Choice>
      <mc:Fallback>
        <control shapeId="3149" r:id="rId12" name="CommandButton1"/>
      </mc:Fallback>
    </mc:AlternateContent>
    <mc:AlternateContent xmlns:mc="http://schemas.openxmlformats.org/markup-compatibility/2006">
      <mc:Choice Requires="x14">
        <control shapeId="3178" r:id="rId14" name="ComboBox1">
          <controlPr defaultSize="0" autoLine="0" r:id="rId15">
            <anchor>
              <from>
                <xdr:col>5</xdr:col>
                <xdr:colOff>1606550</xdr:colOff>
                <xdr:row>1</xdr:row>
                <xdr:rowOff>25400</xdr:rowOff>
              </from>
              <to>
                <xdr:col>6</xdr:col>
                <xdr:colOff>1047750</xdr:colOff>
                <xdr:row>1</xdr:row>
                <xdr:rowOff>311150</xdr:rowOff>
              </to>
            </anchor>
          </controlPr>
        </control>
      </mc:Choice>
      <mc:Fallback>
        <control shapeId="3178" r:id="rId14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67"/>
  <sheetViews>
    <sheetView workbookViewId="0">
      <pane ySplit="1" topLeftCell="A2" activePane="bottomLeft" state="frozen"/>
      <selection sqref="A1:G1"/>
      <selection pane="bottomLeft" sqref="A1:G1"/>
    </sheetView>
  </sheetViews>
  <sheetFormatPr defaultColWidth="9.26953125" defaultRowHeight="14.5"/>
  <cols>
    <col min="1" max="1" width="9.26953125" style="15"/>
    <col min="2" max="2" width="110.54296875" style="93" customWidth="1"/>
    <col min="3" max="3" width="14.1796875" style="15" customWidth="1"/>
    <col min="4" max="4" width="9.26953125" style="15"/>
    <col min="5" max="5" width="60.36328125" style="15" customWidth="1"/>
    <col min="6" max="6" width="22.81640625" style="15" customWidth="1"/>
    <col min="7" max="7" width="19.81640625" style="15" customWidth="1"/>
    <col min="8" max="8" width="25.36328125" style="15" customWidth="1"/>
    <col min="9" max="16384" width="9.26953125" style="15"/>
  </cols>
  <sheetData>
    <row r="1" spans="1:18" s="84" customFormat="1" ht="37.5" customHeight="1">
      <c r="A1" s="84" t="s">
        <v>305</v>
      </c>
      <c r="B1" s="85" t="s">
        <v>306</v>
      </c>
      <c r="C1" s="84" t="s">
        <v>307</v>
      </c>
    </row>
    <row r="2" spans="1:18" ht="15.5">
      <c r="A2" s="15">
        <v>1</v>
      </c>
      <c r="B2" s="86" t="s">
        <v>478</v>
      </c>
      <c r="C2" s="87" t="s">
        <v>473</v>
      </c>
      <c r="E2" s="88" t="s">
        <v>476</v>
      </c>
      <c r="F2" s="89"/>
      <c r="G2" s="88"/>
      <c r="H2" s="88"/>
      <c r="I2" s="88"/>
      <c r="J2" s="88"/>
      <c r="K2" s="88"/>
      <c r="L2" s="88"/>
      <c r="M2" s="88"/>
      <c r="N2" s="88"/>
    </row>
    <row r="3" spans="1:18" ht="15.5">
      <c r="A3" s="15">
        <v>2</v>
      </c>
      <c r="B3" s="86" t="s">
        <v>477</v>
      </c>
      <c r="C3" s="87" t="s">
        <v>473</v>
      </c>
      <c r="E3" s="88" t="s">
        <v>532</v>
      </c>
      <c r="F3" s="88"/>
      <c r="G3" s="88"/>
      <c r="H3" s="88"/>
      <c r="I3" s="88"/>
      <c r="J3" s="88"/>
      <c r="K3" s="88"/>
      <c r="L3" s="88"/>
      <c r="M3" s="88"/>
      <c r="N3" s="88"/>
    </row>
    <row r="4" spans="1:18" ht="15.5">
      <c r="A4" s="15">
        <v>3</v>
      </c>
      <c r="B4" s="86" t="s">
        <v>479</v>
      </c>
      <c r="C4" s="87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8" ht="15.5">
      <c r="A5" s="15">
        <v>4</v>
      </c>
      <c r="B5" s="86" t="s">
        <v>480</v>
      </c>
      <c r="C5" s="87" t="s">
        <v>473</v>
      </c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8" ht="15.5">
      <c r="A6" s="15">
        <v>5</v>
      </c>
      <c r="B6" s="86" t="s">
        <v>481</v>
      </c>
      <c r="C6" s="87" t="s">
        <v>473</v>
      </c>
      <c r="E6" s="90"/>
      <c r="F6" s="88"/>
      <c r="G6" s="88"/>
      <c r="H6" s="89"/>
      <c r="I6" s="88"/>
      <c r="J6" s="88"/>
      <c r="K6" s="88"/>
      <c r="L6" s="88"/>
      <c r="M6" s="88"/>
      <c r="N6" s="88"/>
      <c r="O6" s="88"/>
      <c r="P6" s="88"/>
      <c r="Q6" s="88"/>
      <c r="R6" s="88"/>
    </row>
    <row r="7" spans="1:18" ht="15.5">
      <c r="A7" s="15">
        <v>6</v>
      </c>
      <c r="B7" s="86" t="s">
        <v>482</v>
      </c>
      <c r="C7" s="87" t="s">
        <v>473</v>
      </c>
      <c r="E7" s="90"/>
      <c r="F7" s="88"/>
      <c r="G7" s="88"/>
      <c r="H7" s="89"/>
      <c r="I7" s="88"/>
      <c r="J7" s="88"/>
      <c r="K7" s="88"/>
      <c r="L7" s="88"/>
      <c r="M7" s="88"/>
      <c r="N7" s="88"/>
      <c r="O7" s="88"/>
      <c r="P7" s="88"/>
      <c r="Q7" s="88"/>
      <c r="R7" s="88"/>
    </row>
    <row r="8" spans="1:18" ht="15.5">
      <c r="A8" s="15">
        <v>7</v>
      </c>
      <c r="B8" s="86" t="s">
        <v>483</v>
      </c>
      <c r="C8" s="87" t="s">
        <v>473</v>
      </c>
      <c r="E8" s="90"/>
      <c r="F8" s="88"/>
      <c r="G8" s="88"/>
      <c r="H8" s="89"/>
      <c r="I8" s="88"/>
      <c r="J8" s="88"/>
      <c r="K8" s="88"/>
      <c r="L8" s="88"/>
      <c r="M8" s="88"/>
      <c r="N8" s="88"/>
      <c r="O8" s="88"/>
      <c r="P8" s="88"/>
      <c r="Q8" s="88"/>
      <c r="R8" s="88"/>
    </row>
    <row r="9" spans="1:18" ht="15.5">
      <c r="A9" s="15">
        <v>8</v>
      </c>
      <c r="B9" s="86" t="s">
        <v>484</v>
      </c>
      <c r="C9" s="87"/>
      <c r="E9" s="90"/>
      <c r="F9" s="88"/>
      <c r="G9" s="88"/>
      <c r="H9" s="89"/>
      <c r="I9" s="88"/>
      <c r="J9" s="88"/>
      <c r="K9" s="88"/>
      <c r="L9" s="88"/>
      <c r="M9" s="88"/>
      <c r="N9" s="88"/>
      <c r="O9" s="88"/>
      <c r="P9" s="88"/>
      <c r="Q9" s="88"/>
      <c r="R9" s="88"/>
    </row>
    <row r="10" spans="1:18" ht="15.5">
      <c r="A10" s="15">
        <v>9</v>
      </c>
      <c r="B10" s="86" t="s">
        <v>485</v>
      </c>
      <c r="C10" s="87" t="s">
        <v>473</v>
      </c>
      <c r="E10" s="90"/>
      <c r="F10" s="88"/>
      <c r="G10" s="88"/>
      <c r="H10" s="89"/>
      <c r="I10" s="88"/>
      <c r="J10" s="88"/>
      <c r="K10" s="88"/>
      <c r="L10" s="88"/>
      <c r="M10" s="88"/>
      <c r="N10" s="88"/>
      <c r="O10" s="88"/>
      <c r="P10" s="88"/>
      <c r="Q10" s="88"/>
      <c r="R10" s="88"/>
    </row>
    <row r="11" spans="1:18" ht="15.5">
      <c r="A11" s="15">
        <v>10</v>
      </c>
      <c r="B11" s="86" t="s">
        <v>486</v>
      </c>
      <c r="C11" s="87"/>
      <c r="E11" s="90"/>
      <c r="F11" s="88"/>
      <c r="G11" s="88"/>
      <c r="H11" s="89"/>
      <c r="I11" s="88"/>
      <c r="J11" s="88"/>
      <c r="K11" s="88"/>
      <c r="L11" s="88"/>
      <c r="M11" s="88"/>
      <c r="N11" s="88"/>
      <c r="O11" s="88"/>
      <c r="P11" s="88"/>
      <c r="Q11" s="88"/>
      <c r="R11" s="88"/>
    </row>
    <row r="12" spans="1:18" ht="15.5">
      <c r="A12" s="15">
        <v>11</v>
      </c>
      <c r="B12" s="86" t="s">
        <v>487</v>
      </c>
      <c r="C12" s="87"/>
      <c r="E12" s="90"/>
      <c r="F12" s="88"/>
      <c r="G12" s="88"/>
      <c r="H12" s="89"/>
      <c r="I12" s="88"/>
      <c r="J12" s="88"/>
      <c r="K12" s="88"/>
      <c r="L12" s="88"/>
      <c r="M12" s="88"/>
      <c r="N12" s="88"/>
      <c r="O12" s="88"/>
      <c r="P12" s="88"/>
      <c r="Q12" s="88"/>
      <c r="R12" s="88"/>
    </row>
    <row r="13" spans="1:18" ht="15.5">
      <c r="A13" s="15">
        <v>12</v>
      </c>
      <c r="B13" s="86" t="s">
        <v>488</v>
      </c>
      <c r="C13" s="87"/>
      <c r="E13" s="90"/>
      <c r="F13" s="88"/>
      <c r="G13" s="88"/>
      <c r="H13" s="89"/>
      <c r="I13" s="88"/>
      <c r="J13" s="88"/>
      <c r="K13" s="88"/>
      <c r="L13" s="88"/>
      <c r="M13" s="88"/>
      <c r="N13" s="88"/>
      <c r="O13" s="88"/>
      <c r="P13" s="88"/>
      <c r="Q13" s="88"/>
      <c r="R13" s="88"/>
    </row>
    <row r="14" spans="1:18" ht="15.5">
      <c r="A14" s="15">
        <v>13</v>
      </c>
      <c r="B14" s="86" t="s">
        <v>489</v>
      </c>
      <c r="C14" s="87"/>
      <c r="E14" s="90"/>
      <c r="F14" s="88"/>
      <c r="G14" s="88"/>
      <c r="H14" s="89"/>
      <c r="I14" s="88"/>
      <c r="J14" s="88"/>
      <c r="K14" s="88"/>
      <c r="L14" s="88"/>
      <c r="M14" s="88"/>
      <c r="N14" s="88"/>
      <c r="O14" s="88"/>
      <c r="P14" s="88"/>
      <c r="Q14" s="88"/>
      <c r="R14" s="88"/>
    </row>
    <row r="15" spans="1:18" ht="15.5">
      <c r="A15" s="15">
        <v>14</v>
      </c>
      <c r="B15" s="86" t="s">
        <v>490</v>
      </c>
      <c r="C15" s="87"/>
      <c r="E15" s="90"/>
      <c r="F15" s="88"/>
      <c r="G15" s="88"/>
      <c r="H15" s="89"/>
      <c r="I15" s="88"/>
      <c r="J15" s="88"/>
      <c r="K15" s="88"/>
      <c r="L15" s="88"/>
      <c r="M15" s="88"/>
      <c r="N15" s="88"/>
      <c r="O15" s="88"/>
      <c r="P15" s="88"/>
      <c r="Q15" s="88"/>
      <c r="R15" s="88"/>
    </row>
    <row r="16" spans="1:18" ht="15.5">
      <c r="A16" s="15">
        <v>15</v>
      </c>
      <c r="B16" s="86" t="s">
        <v>491</v>
      </c>
      <c r="C16" s="87"/>
      <c r="E16" s="90"/>
      <c r="F16" s="88"/>
      <c r="G16" s="88"/>
      <c r="H16" s="89"/>
      <c r="I16" s="88"/>
      <c r="J16" s="88"/>
      <c r="K16" s="88"/>
      <c r="L16" s="88"/>
      <c r="M16" s="88"/>
      <c r="N16" s="88"/>
      <c r="O16" s="88"/>
      <c r="P16" s="88"/>
      <c r="Q16" s="88"/>
      <c r="R16" s="88"/>
    </row>
    <row r="17" spans="1:18" ht="15.5">
      <c r="A17" s="15">
        <v>16</v>
      </c>
      <c r="B17" s="86" t="s">
        <v>492</v>
      </c>
      <c r="C17" s="87" t="s">
        <v>473</v>
      </c>
      <c r="E17" s="90"/>
      <c r="F17" s="88"/>
      <c r="G17" s="88"/>
      <c r="H17" s="89"/>
      <c r="I17" s="88"/>
      <c r="J17" s="88"/>
      <c r="K17" s="88"/>
      <c r="L17" s="88"/>
      <c r="M17" s="88"/>
      <c r="N17" s="88"/>
      <c r="O17" s="88"/>
      <c r="P17" s="88"/>
      <c r="Q17" s="88"/>
      <c r="R17" s="88"/>
    </row>
    <row r="18" spans="1:18" ht="15.5">
      <c r="A18" s="15">
        <v>17</v>
      </c>
      <c r="B18" s="86" t="s">
        <v>493</v>
      </c>
      <c r="C18" s="87" t="s">
        <v>473</v>
      </c>
      <c r="E18" s="90"/>
      <c r="F18" s="88"/>
      <c r="G18" s="88"/>
      <c r="H18" s="89"/>
      <c r="I18" s="88"/>
      <c r="J18" s="88"/>
      <c r="K18" s="88"/>
      <c r="L18" s="88"/>
      <c r="M18" s="88"/>
      <c r="N18" s="88"/>
      <c r="O18" s="88"/>
      <c r="P18" s="88"/>
      <c r="Q18" s="88"/>
      <c r="R18" s="88"/>
    </row>
    <row r="19" spans="1:18" ht="15.5">
      <c r="A19" s="15">
        <v>18</v>
      </c>
      <c r="B19" s="86" t="s">
        <v>494</v>
      </c>
      <c r="C19" s="87" t="s">
        <v>473</v>
      </c>
      <c r="E19" s="90"/>
      <c r="F19" s="88"/>
      <c r="G19" s="88"/>
      <c r="H19" s="89"/>
      <c r="I19" s="88"/>
      <c r="J19" s="88"/>
      <c r="K19" s="88"/>
      <c r="L19" s="88"/>
      <c r="M19" s="88"/>
      <c r="N19" s="88"/>
      <c r="O19" s="88"/>
      <c r="P19" s="88"/>
      <c r="Q19" s="88"/>
      <c r="R19" s="88"/>
    </row>
    <row r="20" spans="1:18" ht="15.5">
      <c r="A20" s="15">
        <v>19</v>
      </c>
      <c r="B20" s="86" t="s">
        <v>495</v>
      </c>
      <c r="C20" s="87" t="s">
        <v>473</v>
      </c>
      <c r="E20" s="90"/>
      <c r="F20" s="88"/>
      <c r="G20" s="88"/>
      <c r="H20" s="89"/>
      <c r="I20" s="88"/>
      <c r="J20" s="88"/>
      <c r="K20" s="88"/>
      <c r="L20" s="88"/>
      <c r="M20" s="88"/>
      <c r="N20" s="88"/>
      <c r="O20" s="88"/>
      <c r="P20" s="88"/>
      <c r="Q20" s="88"/>
      <c r="R20" s="88"/>
    </row>
    <row r="21" spans="1:18" ht="15.5">
      <c r="A21" s="15">
        <v>201</v>
      </c>
      <c r="B21" s="86" t="s">
        <v>612</v>
      </c>
      <c r="C21" s="87"/>
      <c r="E21" s="90"/>
      <c r="F21" s="88"/>
      <c r="G21" s="88"/>
      <c r="H21" s="89"/>
      <c r="I21" s="88"/>
      <c r="J21" s="88"/>
      <c r="K21" s="88"/>
      <c r="L21" s="88"/>
      <c r="M21" s="88"/>
      <c r="N21" s="88"/>
      <c r="O21" s="88"/>
      <c r="P21" s="88"/>
      <c r="Q21" s="88"/>
      <c r="R21" s="88"/>
    </row>
    <row r="22" spans="1:18" ht="15.5">
      <c r="A22" s="15">
        <v>202</v>
      </c>
      <c r="B22" s="86" t="s">
        <v>613</v>
      </c>
      <c r="C22" s="87"/>
      <c r="E22" s="90"/>
      <c r="F22" s="88"/>
      <c r="G22" s="88"/>
      <c r="H22" s="89"/>
      <c r="I22" s="88"/>
      <c r="J22" s="88"/>
      <c r="K22" s="88"/>
      <c r="L22" s="88"/>
      <c r="M22" s="88"/>
      <c r="N22" s="88"/>
      <c r="O22" s="88"/>
      <c r="P22" s="88"/>
      <c r="Q22" s="88"/>
      <c r="R22" s="88"/>
    </row>
    <row r="23" spans="1:18" ht="15.5">
      <c r="A23" s="15">
        <v>203</v>
      </c>
      <c r="B23" s="86" t="s">
        <v>614</v>
      </c>
      <c r="C23" s="87"/>
      <c r="E23" s="90"/>
      <c r="F23" s="88"/>
      <c r="G23" s="88"/>
      <c r="H23" s="89"/>
      <c r="I23" s="88"/>
      <c r="J23" s="88"/>
      <c r="K23" s="88"/>
      <c r="L23" s="88"/>
      <c r="M23" s="88"/>
      <c r="N23" s="88"/>
      <c r="O23" s="88"/>
      <c r="P23" s="88"/>
      <c r="Q23" s="88"/>
      <c r="R23" s="88"/>
    </row>
    <row r="24" spans="1:18" ht="15.5">
      <c r="A24" s="15">
        <v>204</v>
      </c>
      <c r="B24" s="86" t="s">
        <v>615</v>
      </c>
      <c r="C24" s="87"/>
      <c r="E24" s="90"/>
      <c r="F24" s="88"/>
      <c r="G24" s="88"/>
      <c r="H24" s="89"/>
      <c r="I24" s="88"/>
      <c r="J24" s="88"/>
      <c r="K24" s="88"/>
      <c r="L24" s="88"/>
      <c r="M24" s="88"/>
      <c r="N24" s="88"/>
      <c r="O24" s="88"/>
      <c r="P24" s="88"/>
      <c r="Q24" s="88"/>
      <c r="R24" s="88"/>
    </row>
    <row r="25" spans="1:18" ht="15.5">
      <c r="A25" s="15">
        <v>205</v>
      </c>
      <c r="B25" s="86" t="s">
        <v>616</v>
      </c>
      <c r="C25" s="87"/>
      <c r="E25" s="90"/>
      <c r="F25" s="88"/>
      <c r="G25" s="88"/>
      <c r="H25" s="89"/>
      <c r="I25" s="88"/>
      <c r="J25" s="88"/>
      <c r="K25" s="88"/>
      <c r="L25" s="88"/>
      <c r="M25" s="88"/>
      <c r="N25" s="88"/>
      <c r="O25" s="88"/>
      <c r="P25" s="88"/>
      <c r="Q25" s="88"/>
      <c r="R25" s="88"/>
    </row>
    <row r="26" spans="1:18" ht="15.5">
      <c r="A26" s="15">
        <v>206</v>
      </c>
      <c r="B26" s="86" t="s">
        <v>617</v>
      </c>
      <c r="C26" s="87"/>
      <c r="E26" s="90"/>
      <c r="F26" s="88"/>
      <c r="G26" s="88"/>
      <c r="H26" s="89"/>
      <c r="I26" s="88"/>
      <c r="J26" s="88"/>
      <c r="K26" s="88"/>
      <c r="L26" s="88"/>
      <c r="M26" s="88"/>
      <c r="N26" s="88"/>
      <c r="O26" s="88"/>
      <c r="P26" s="88"/>
      <c r="Q26" s="88"/>
      <c r="R26" s="88"/>
    </row>
    <row r="27" spans="1:18" ht="15.5">
      <c r="A27" s="15">
        <v>21</v>
      </c>
      <c r="B27" s="86" t="s">
        <v>496</v>
      </c>
      <c r="C27" s="87"/>
      <c r="E27" s="90"/>
      <c r="F27" s="88"/>
      <c r="G27" s="88"/>
      <c r="H27" s="89"/>
      <c r="I27" s="88"/>
      <c r="J27" s="88"/>
      <c r="K27" s="88"/>
      <c r="L27" s="88"/>
      <c r="M27" s="88"/>
      <c r="N27" s="88"/>
      <c r="O27" s="88"/>
      <c r="P27" s="88"/>
      <c r="Q27" s="88"/>
      <c r="R27" s="88"/>
    </row>
    <row r="28" spans="1:18" ht="15.5">
      <c r="A28" s="15">
        <v>22</v>
      </c>
      <c r="B28" s="86" t="s">
        <v>497</v>
      </c>
      <c r="C28" s="87" t="s">
        <v>473</v>
      </c>
      <c r="E28" s="90"/>
      <c r="F28" s="88"/>
      <c r="G28" s="88"/>
      <c r="H28" s="89"/>
      <c r="I28" s="88"/>
      <c r="J28" s="88"/>
      <c r="K28" s="88"/>
      <c r="L28" s="88"/>
      <c r="M28" s="88"/>
      <c r="N28" s="88"/>
      <c r="O28" s="88"/>
      <c r="P28" s="88"/>
      <c r="Q28" s="88"/>
      <c r="R28" s="88"/>
    </row>
    <row r="29" spans="1:18" ht="15.5">
      <c r="A29" s="15">
        <v>23</v>
      </c>
      <c r="B29" s="86" t="s">
        <v>498</v>
      </c>
      <c r="C29" s="87"/>
      <c r="E29" s="90"/>
      <c r="F29" s="88"/>
      <c r="G29" s="88"/>
      <c r="H29" s="89"/>
      <c r="I29" s="88"/>
      <c r="J29" s="88"/>
      <c r="K29" s="88"/>
      <c r="L29" s="88"/>
      <c r="M29" s="88"/>
      <c r="N29" s="88"/>
      <c r="O29" s="88"/>
      <c r="P29" s="88"/>
      <c r="Q29" s="88"/>
      <c r="R29" s="88"/>
    </row>
    <row r="30" spans="1:18" ht="15.5">
      <c r="A30" s="15">
        <v>24</v>
      </c>
      <c r="B30" s="86" t="s">
        <v>499</v>
      </c>
      <c r="C30" s="87"/>
      <c r="E30" s="90"/>
      <c r="F30" s="88"/>
      <c r="G30" s="88"/>
      <c r="H30" s="89"/>
      <c r="I30" s="88"/>
      <c r="J30" s="88"/>
      <c r="K30" s="88"/>
      <c r="L30" s="88"/>
      <c r="M30" s="88"/>
      <c r="N30" s="88"/>
      <c r="O30" s="88"/>
      <c r="P30" s="88"/>
      <c r="Q30" s="88"/>
      <c r="R30" s="88"/>
    </row>
    <row r="31" spans="1:18" ht="15.5">
      <c r="A31" s="15">
        <v>25</v>
      </c>
      <c r="B31" s="86" t="s">
        <v>500</v>
      </c>
      <c r="C31" s="87"/>
      <c r="E31" s="90"/>
      <c r="F31" s="88"/>
      <c r="G31" s="88"/>
      <c r="H31" s="89"/>
      <c r="I31" s="88"/>
      <c r="J31" s="88"/>
      <c r="K31" s="88"/>
      <c r="L31" s="88"/>
      <c r="M31" s="88"/>
      <c r="N31" s="88"/>
      <c r="O31" s="88"/>
      <c r="P31" s="88"/>
      <c r="Q31" s="88"/>
      <c r="R31" s="88"/>
    </row>
    <row r="32" spans="1:18" ht="15.5">
      <c r="A32" s="15">
        <v>26</v>
      </c>
      <c r="B32" s="86" t="s">
        <v>501</v>
      </c>
      <c r="C32" s="87"/>
      <c r="E32" s="90"/>
      <c r="F32" s="88"/>
      <c r="G32" s="88"/>
      <c r="H32" s="89"/>
      <c r="I32" s="88"/>
      <c r="J32" s="88"/>
      <c r="K32" s="88"/>
      <c r="L32" s="88"/>
      <c r="M32" s="88"/>
      <c r="N32" s="88"/>
      <c r="O32" s="88"/>
      <c r="P32" s="88"/>
      <c r="Q32" s="88"/>
      <c r="R32" s="88"/>
    </row>
    <row r="33" spans="1:18" ht="15.5">
      <c r="A33" s="15">
        <v>27</v>
      </c>
      <c r="B33" s="86" t="s">
        <v>502</v>
      </c>
      <c r="C33" s="87"/>
      <c r="E33" s="90"/>
      <c r="F33" s="88"/>
      <c r="G33" s="88"/>
      <c r="H33" s="89"/>
      <c r="I33" s="88"/>
      <c r="J33" s="88"/>
      <c r="K33" s="88"/>
      <c r="L33" s="88"/>
      <c r="M33" s="88"/>
      <c r="N33" s="88"/>
      <c r="O33" s="88"/>
      <c r="P33" s="88"/>
      <c r="Q33" s="88"/>
      <c r="R33" s="88"/>
    </row>
    <row r="34" spans="1:18" ht="15.5">
      <c r="A34" s="15">
        <v>28</v>
      </c>
      <c r="B34" s="86" t="s">
        <v>503</v>
      </c>
      <c r="C34" s="87"/>
      <c r="E34" s="90"/>
      <c r="F34" s="88"/>
      <c r="G34" s="91"/>
      <c r="H34" s="89"/>
      <c r="I34" s="88"/>
      <c r="J34" s="88"/>
      <c r="K34" s="88"/>
      <c r="L34" s="88"/>
      <c r="M34" s="88"/>
      <c r="N34" s="88"/>
      <c r="O34" s="88"/>
      <c r="P34" s="88"/>
      <c r="Q34" s="88"/>
      <c r="R34" s="88"/>
    </row>
    <row r="35" spans="1:18" ht="15.5">
      <c r="A35" s="15">
        <v>29</v>
      </c>
      <c r="B35" s="86" t="s">
        <v>504</v>
      </c>
      <c r="C35" s="87"/>
      <c r="E35" s="90"/>
      <c r="F35" s="88"/>
      <c r="G35" s="88"/>
      <c r="H35" s="89"/>
      <c r="I35" s="88"/>
      <c r="J35" s="88"/>
      <c r="K35" s="88"/>
      <c r="L35" s="88"/>
      <c r="M35" s="88"/>
      <c r="N35" s="88"/>
      <c r="O35" s="88"/>
      <c r="P35" s="88"/>
      <c r="Q35" s="88"/>
      <c r="R35" s="88"/>
    </row>
    <row r="36" spans="1:18" ht="15.5">
      <c r="A36" s="15">
        <v>30</v>
      </c>
      <c r="B36" s="86" t="s">
        <v>505</v>
      </c>
      <c r="C36" s="87"/>
      <c r="E36" s="90"/>
      <c r="F36" s="88"/>
      <c r="G36" s="88"/>
      <c r="H36" s="89"/>
      <c r="I36" s="88"/>
      <c r="J36" s="88"/>
      <c r="K36" s="88"/>
      <c r="L36" s="88"/>
      <c r="M36" s="88"/>
      <c r="N36" s="88"/>
      <c r="O36" s="88"/>
      <c r="P36" s="88"/>
      <c r="Q36" s="88"/>
      <c r="R36" s="88"/>
    </row>
    <row r="37" spans="1:18" ht="15.5">
      <c r="A37" s="15">
        <v>31</v>
      </c>
      <c r="B37" s="86" t="s">
        <v>506</v>
      </c>
      <c r="C37" s="87" t="s">
        <v>473</v>
      </c>
      <c r="E37" s="90"/>
      <c r="F37" s="88"/>
      <c r="G37" s="88"/>
      <c r="H37" s="89"/>
      <c r="I37" s="88"/>
      <c r="J37" s="88"/>
      <c r="K37" s="88"/>
      <c r="L37" s="88"/>
      <c r="M37" s="88"/>
      <c r="N37" s="88"/>
      <c r="O37" s="88"/>
      <c r="P37" s="88"/>
      <c r="Q37" s="88"/>
      <c r="R37" s="88"/>
    </row>
    <row r="38" spans="1:18" ht="15.5">
      <c r="A38" s="15">
        <v>32</v>
      </c>
      <c r="B38" s="86" t="s">
        <v>507</v>
      </c>
      <c r="C38" s="87"/>
      <c r="E38" s="90"/>
      <c r="F38" s="88"/>
      <c r="G38" s="89"/>
      <c r="H38" s="89"/>
      <c r="I38" s="88"/>
      <c r="J38" s="88"/>
      <c r="K38" s="88"/>
      <c r="L38" s="88"/>
      <c r="M38" s="88"/>
      <c r="N38" s="88"/>
      <c r="O38" s="88"/>
      <c r="P38" s="88"/>
      <c r="Q38" s="88"/>
      <c r="R38" s="88"/>
    </row>
    <row r="39" spans="1:18" ht="15.5">
      <c r="A39" s="15">
        <v>33</v>
      </c>
      <c r="B39" s="86" t="s">
        <v>508</v>
      </c>
      <c r="C39" s="87"/>
      <c r="E39" s="90"/>
      <c r="F39" s="88"/>
      <c r="G39" s="89"/>
      <c r="H39" s="89"/>
      <c r="I39" s="88"/>
      <c r="J39" s="88"/>
      <c r="K39" s="88"/>
      <c r="L39" s="88"/>
      <c r="M39" s="88"/>
      <c r="N39" s="88"/>
      <c r="O39" s="88"/>
      <c r="P39" s="88"/>
      <c r="Q39" s="88"/>
      <c r="R39" s="88"/>
    </row>
    <row r="40" spans="1:18" ht="15.5">
      <c r="A40" s="15">
        <v>34</v>
      </c>
      <c r="B40" s="86" t="s">
        <v>509</v>
      </c>
      <c r="C40" s="87" t="s">
        <v>473</v>
      </c>
      <c r="E40" s="90"/>
      <c r="F40" s="88"/>
      <c r="G40" s="88"/>
      <c r="H40" s="89"/>
      <c r="I40" s="88"/>
      <c r="J40" s="88"/>
      <c r="K40" s="88"/>
      <c r="L40" s="88"/>
      <c r="M40" s="88"/>
      <c r="N40" s="88"/>
      <c r="O40" s="88"/>
      <c r="P40" s="88"/>
      <c r="Q40" s="88"/>
      <c r="R40" s="88"/>
    </row>
    <row r="41" spans="1:18" ht="15.5">
      <c r="A41" s="15">
        <v>35</v>
      </c>
      <c r="B41" s="86" t="s">
        <v>510</v>
      </c>
      <c r="C41" s="87"/>
      <c r="E41" s="90"/>
      <c r="F41" s="88"/>
      <c r="G41" s="88"/>
      <c r="H41" s="89"/>
      <c r="I41" s="88"/>
      <c r="J41" s="88"/>
      <c r="K41" s="88"/>
      <c r="L41" s="88"/>
      <c r="M41" s="88"/>
      <c r="N41" s="88"/>
      <c r="O41" s="88"/>
      <c r="P41" s="88"/>
      <c r="Q41" s="88"/>
      <c r="R41" s="88"/>
    </row>
    <row r="42" spans="1:18" ht="15.5">
      <c r="A42" s="15">
        <v>36</v>
      </c>
      <c r="B42" s="86" t="s">
        <v>511</v>
      </c>
      <c r="C42" s="87" t="s">
        <v>473</v>
      </c>
      <c r="E42" s="90"/>
      <c r="F42" s="88"/>
      <c r="G42" s="88"/>
      <c r="H42" s="89"/>
      <c r="I42" s="88"/>
      <c r="J42" s="88"/>
      <c r="K42" s="88"/>
      <c r="L42" s="88"/>
      <c r="M42" s="88"/>
      <c r="N42" s="88"/>
      <c r="O42" s="88"/>
      <c r="P42" s="88"/>
      <c r="Q42" s="88"/>
      <c r="R42" s="88"/>
    </row>
    <row r="43" spans="1:18" ht="15.5">
      <c r="A43" s="15">
        <v>37</v>
      </c>
      <c r="B43" s="86" t="s">
        <v>512</v>
      </c>
      <c r="C43" s="87"/>
      <c r="E43" s="90"/>
      <c r="F43" s="88"/>
      <c r="G43" s="88"/>
      <c r="H43" s="89"/>
      <c r="I43" s="88"/>
      <c r="J43" s="88"/>
      <c r="K43" s="88"/>
      <c r="L43" s="88"/>
      <c r="M43" s="88"/>
      <c r="N43" s="88"/>
      <c r="O43" s="88"/>
      <c r="P43" s="88"/>
      <c r="Q43" s="88"/>
      <c r="R43" s="88"/>
    </row>
    <row r="44" spans="1:18" ht="15.5">
      <c r="A44" s="15">
        <v>38</v>
      </c>
      <c r="B44" s="86" t="s">
        <v>513</v>
      </c>
      <c r="E44" s="90"/>
      <c r="F44" s="88"/>
      <c r="G44" s="88"/>
      <c r="H44" s="89"/>
      <c r="I44" s="88"/>
      <c r="J44" s="88"/>
      <c r="K44" s="88"/>
      <c r="L44" s="88"/>
      <c r="M44" s="88"/>
      <c r="N44" s="88"/>
      <c r="O44" s="88"/>
      <c r="P44" s="88"/>
      <c r="Q44" s="88"/>
      <c r="R44" s="88"/>
    </row>
    <row r="45" spans="1:18" ht="15.5">
      <c r="A45" s="15">
        <v>39</v>
      </c>
      <c r="B45" s="86" t="s">
        <v>514</v>
      </c>
      <c r="C45" s="87" t="s">
        <v>473</v>
      </c>
      <c r="E45" s="90"/>
      <c r="F45" s="88"/>
      <c r="G45" s="88"/>
      <c r="H45" s="89"/>
      <c r="I45" s="88"/>
      <c r="J45" s="88"/>
      <c r="K45" s="88"/>
      <c r="L45" s="88"/>
      <c r="M45" s="88"/>
      <c r="N45" s="88"/>
      <c r="O45" s="88"/>
      <c r="P45" s="88"/>
      <c r="Q45" s="88"/>
      <c r="R45" s="88"/>
    </row>
    <row r="46" spans="1:18" ht="15.5">
      <c r="A46" s="15">
        <v>40</v>
      </c>
      <c r="B46" s="86" t="s">
        <v>515</v>
      </c>
      <c r="C46" s="87"/>
      <c r="E46" s="90"/>
      <c r="F46" s="88"/>
      <c r="G46" s="88"/>
      <c r="H46" s="89"/>
      <c r="I46" s="88"/>
      <c r="J46" s="88"/>
      <c r="K46" s="88"/>
      <c r="L46" s="88"/>
      <c r="M46" s="88"/>
      <c r="N46" s="88"/>
      <c r="O46" s="88"/>
      <c r="P46" s="88"/>
      <c r="Q46" s="88"/>
      <c r="R46" s="88"/>
    </row>
    <row r="47" spans="1:18" ht="15.5">
      <c r="A47" s="15">
        <v>41</v>
      </c>
      <c r="B47" s="86" t="s">
        <v>516</v>
      </c>
      <c r="C47" s="87"/>
      <c r="E47" s="90"/>
      <c r="F47" s="88"/>
      <c r="G47" s="88"/>
      <c r="H47" s="89"/>
      <c r="I47" s="88"/>
      <c r="J47" s="88"/>
      <c r="K47" s="88"/>
      <c r="L47" s="88"/>
      <c r="M47" s="88"/>
      <c r="N47" s="88"/>
      <c r="O47" s="88"/>
      <c r="P47" s="88"/>
      <c r="Q47" s="88"/>
      <c r="R47" s="88"/>
    </row>
    <row r="48" spans="1:18" ht="15.5">
      <c r="A48" s="15">
        <v>42</v>
      </c>
      <c r="B48" s="86" t="s">
        <v>517</v>
      </c>
      <c r="C48" s="87" t="s">
        <v>473</v>
      </c>
      <c r="E48" s="90"/>
      <c r="F48" s="88"/>
      <c r="G48" s="88"/>
      <c r="H48" s="89"/>
      <c r="I48" s="88"/>
      <c r="J48" s="88"/>
      <c r="K48" s="88"/>
      <c r="L48" s="88"/>
      <c r="M48" s="88"/>
      <c r="N48" s="88"/>
      <c r="O48" s="88"/>
      <c r="P48" s="88"/>
      <c r="Q48" s="88"/>
      <c r="R48" s="88"/>
    </row>
    <row r="49" spans="1:3" ht="15.5">
      <c r="A49" s="15">
        <v>43</v>
      </c>
      <c r="B49" s="94" t="s">
        <v>308</v>
      </c>
    </row>
    <row r="50" spans="1:3" ht="15.5">
      <c r="A50" s="15">
        <v>44</v>
      </c>
      <c r="B50" s="94" t="s">
        <v>521</v>
      </c>
    </row>
    <row r="51" spans="1:3">
      <c r="A51" s="15">
        <v>45</v>
      </c>
      <c r="B51" s="14" t="s">
        <v>526</v>
      </c>
    </row>
    <row r="52" spans="1:3" ht="24.5" customHeight="1">
      <c r="A52" s="15">
        <v>48</v>
      </c>
      <c r="B52" s="95" t="s">
        <v>538</v>
      </c>
    </row>
    <row r="53" spans="1:3" ht="29">
      <c r="A53" s="15">
        <v>46</v>
      </c>
      <c r="B53" s="14" t="s">
        <v>540</v>
      </c>
      <c r="C53" s="92"/>
    </row>
    <row r="54" spans="1:3" ht="33.4" customHeight="1">
      <c r="A54" s="15">
        <v>47</v>
      </c>
      <c r="B54" s="14" t="s">
        <v>541</v>
      </c>
    </row>
    <row r="55" spans="1:3">
      <c r="A55" s="15">
        <v>49</v>
      </c>
      <c r="B55" s="14" t="s">
        <v>518</v>
      </c>
    </row>
    <row r="56" spans="1:3">
      <c r="A56" s="15">
        <v>52</v>
      </c>
      <c r="B56" s="95" t="s">
        <v>537</v>
      </c>
    </row>
    <row r="57" spans="1:3" ht="43.5">
      <c r="A57" s="15">
        <v>50</v>
      </c>
      <c r="B57" s="14" t="s">
        <v>618</v>
      </c>
    </row>
    <row r="58" spans="1:3" ht="43.5">
      <c r="A58" s="15">
        <v>51</v>
      </c>
      <c r="B58" s="14" t="s">
        <v>542</v>
      </c>
    </row>
    <row r="59" spans="1:3">
      <c r="A59" s="15">
        <v>57</v>
      </c>
      <c r="B59" s="95" t="s">
        <v>539</v>
      </c>
    </row>
    <row r="60" spans="1:3" ht="29">
      <c r="A60" s="15">
        <v>53</v>
      </c>
      <c r="B60" s="14" t="s">
        <v>543</v>
      </c>
    </row>
    <row r="61" spans="1:3" ht="29">
      <c r="A61" s="15">
        <v>54</v>
      </c>
      <c r="B61" s="14" t="s">
        <v>544</v>
      </c>
    </row>
    <row r="62" spans="1:3">
      <c r="A62" s="15">
        <v>55</v>
      </c>
      <c r="B62" s="14" t="s">
        <v>519</v>
      </c>
    </row>
    <row r="63" spans="1:3">
      <c r="A63" s="15">
        <v>56</v>
      </c>
      <c r="B63" s="14" t="s">
        <v>520</v>
      </c>
    </row>
    <row r="64" spans="1:3">
      <c r="A64" s="15">
        <v>58</v>
      </c>
      <c r="B64" s="96" t="s">
        <v>545</v>
      </c>
    </row>
    <row r="65" spans="1:2">
      <c r="A65" s="15">
        <v>59</v>
      </c>
      <c r="B65" s="96" t="s">
        <v>546</v>
      </c>
    </row>
    <row r="66" spans="1:2" ht="22.5" customHeight="1">
      <c r="A66" s="15">
        <v>60</v>
      </c>
      <c r="B66" s="97" t="s">
        <v>547</v>
      </c>
    </row>
    <row r="67" spans="1:2">
      <c r="A67" s="15">
        <v>61</v>
      </c>
      <c r="B67" s="89" t="s">
        <v>309</v>
      </c>
    </row>
  </sheetData>
  <sheetProtection algorithmName="SHA-512" hashValue="YsxMsSdTmY3vydaD0OuXresmLApYLV9U4k+WKKSIeOckDmAea15Cwb85KeROebsSg+91Rf7QLxhmsh5B9q/g0Q==" saltValue="n8RQ1nNctY3BVBrFXmyVBQ==" spinCount="100000" sheet="1" objects="1" scenarios="1" formatCells="0"/>
  <phoneticPr fontId="6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65"/>
  <sheetViews>
    <sheetView workbookViewId="0">
      <pane ySplit="1" topLeftCell="A50" activePane="bottomLeft" state="frozen"/>
      <selection sqref="A1:G1"/>
      <selection pane="bottomLeft" activeCell="A2" sqref="A2"/>
    </sheetView>
  </sheetViews>
  <sheetFormatPr defaultColWidth="9.1796875" defaultRowHeight="14.5"/>
  <cols>
    <col min="1" max="1" width="18.1796875" customWidth="1"/>
    <col min="2" max="2" width="18.81640625" customWidth="1"/>
    <col min="3" max="3" width="34.36328125" customWidth="1"/>
  </cols>
  <sheetData>
    <row r="1" spans="1:6" s="2" customFormat="1">
      <c r="A1" s="2" t="s">
        <v>393</v>
      </c>
      <c r="B1" s="2" t="s">
        <v>394</v>
      </c>
      <c r="C1" s="2" t="s">
        <v>395</v>
      </c>
      <c r="D1" s="2" t="s">
        <v>566</v>
      </c>
      <c r="E1" s="2" t="s">
        <v>568</v>
      </c>
      <c r="F1" s="2" t="s">
        <v>567</v>
      </c>
    </row>
    <row r="2" spans="1:6">
      <c r="A2" t="s">
        <v>625</v>
      </c>
      <c r="B2" t="s">
        <v>315</v>
      </c>
      <c r="C2" t="b">
        <v>1</v>
      </c>
      <c r="D2">
        <v>10</v>
      </c>
      <c r="E2">
        <v>10</v>
      </c>
    </row>
    <row r="3" spans="1:6">
      <c r="A3" t="s">
        <v>625</v>
      </c>
      <c r="B3" t="s">
        <v>317</v>
      </c>
      <c r="C3" t="b">
        <v>1</v>
      </c>
      <c r="D3">
        <v>10</v>
      </c>
      <c r="E3">
        <v>10</v>
      </c>
    </row>
    <row r="4" spans="1:6">
      <c r="A4" t="s">
        <v>625</v>
      </c>
      <c r="B4" t="s">
        <v>319</v>
      </c>
      <c r="C4" t="b">
        <v>1</v>
      </c>
      <c r="D4">
        <v>6</v>
      </c>
      <c r="E4">
        <v>6</v>
      </c>
    </row>
    <row r="5" spans="1:6">
      <c r="A5" t="s">
        <v>625</v>
      </c>
      <c r="B5" t="s">
        <v>321</v>
      </c>
      <c r="C5" t="b">
        <v>1</v>
      </c>
      <c r="D5">
        <v>10</v>
      </c>
      <c r="E5">
        <v>10</v>
      </c>
    </row>
    <row r="6" spans="1:6">
      <c r="A6" t="s">
        <v>625</v>
      </c>
      <c r="B6" t="s">
        <v>322</v>
      </c>
      <c r="C6" t="b">
        <v>1</v>
      </c>
      <c r="D6">
        <v>10</v>
      </c>
      <c r="E6">
        <v>10</v>
      </c>
    </row>
    <row r="7" spans="1:6">
      <c r="A7" t="s">
        <v>625</v>
      </c>
      <c r="B7" t="s">
        <v>323</v>
      </c>
      <c r="C7" t="b">
        <v>0</v>
      </c>
      <c r="D7">
        <v>9</v>
      </c>
      <c r="E7">
        <v>0</v>
      </c>
    </row>
    <row r="8" spans="1:6">
      <c r="A8" t="s">
        <v>625</v>
      </c>
      <c r="B8" t="s">
        <v>324</v>
      </c>
      <c r="C8" t="b">
        <v>0</v>
      </c>
      <c r="D8">
        <v>9</v>
      </c>
      <c r="E8">
        <v>0</v>
      </c>
    </row>
    <row r="9" spans="1:6">
      <c r="A9" t="s">
        <v>625</v>
      </c>
      <c r="B9" t="s">
        <v>325</v>
      </c>
      <c r="C9" t="b">
        <v>1</v>
      </c>
      <c r="D9">
        <v>5</v>
      </c>
      <c r="E9">
        <v>5</v>
      </c>
    </row>
    <row r="10" spans="1:6">
      <c r="A10" t="s">
        <v>625</v>
      </c>
      <c r="B10" t="s">
        <v>326</v>
      </c>
      <c r="C10" t="b">
        <v>1</v>
      </c>
      <c r="D10">
        <v>10</v>
      </c>
      <c r="E10">
        <v>10</v>
      </c>
    </row>
    <row r="11" spans="1:6">
      <c r="A11" t="s">
        <v>625</v>
      </c>
      <c r="B11" t="s">
        <v>327</v>
      </c>
      <c r="C11" t="b">
        <v>1</v>
      </c>
      <c r="D11">
        <v>6</v>
      </c>
      <c r="E11">
        <v>6</v>
      </c>
    </row>
    <row r="12" spans="1:6">
      <c r="A12" t="s">
        <v>625</v>
      </c>
      <c r="B12" t="s">
        <v>328</v>
      </c>
      <c r="C12" t="b">
        <v>1</v>
      </c>
      <c r="D12">
        <v>5</v>
      </c>
      <c r="E12">
        <v>5</v>
      </c>
    </row>
    <row r="13" spans="1:6">
      <c r="A13" t="s">
        <v>625</v>
      </c>
      <c r="B13" t="s">
        <v>329</v>
      </c>
      <c r="C13" t="b">
        <v>1</v>
      </c>
      <c r="D13">
        <v>5</v>
      </c>
      <c r="E13">
        <v>5</v>
      </c>
    </row>
    <row r="14" spans="1:6">
      <c r="A14" t="s">
        <v>625</v>
      </c>
      <c r="B14" t="s">
        <v>330</v>
      </c>
      <c r="C14" t="b">
        <v>1</v>
      </c>
      <c r="D14">
        <v>6</v>
      </c>
      <c r="E14">
        <v>6</v>
      </c>
    </row>
    <row r="15" spans="1:6">
      <c r="A15" t="s">
        <v>625</v>
      </c>
      <c r="B15" t="s">
        <v>331</v>
      </c>
      <c r="C15" t="b">
        <v>1</v>
      </c>
      <c r="D15">
        <v>6</v>
      </c>
      <c r="E15">
        <v>6</v>
      </c>
    </row>
    <row r="16" spans="1:6">
      <c r="A16" t="s">
        <v>625</v>
      </c>
      <c r="B16" t="s">
        <v>333</v>
      </c>
      <c r="C16" t="b">
        <v>1</v>
      </c>
      <c r="D16">
        <v>7</v>
      </c>
      <c r="E16">
        <v>7</v>
      </c>
    </row>
    <row r="17" spans="1:5">
      <c r="A17" t="s">
        <v>625</v>
      </c>
      <c r="B17" t="s">
        <v>335</v>
      </c>
      <c r="C17" t="b">
        <v>1</v>
      </c>
      <c r="D17">
        <v>10</v>
      </c>
      <c r="E17">
        <v>10</v>
      </c>
    </row>
    <row r="18" spans="1:5">
      <c r="A18" t="s">
        <v>625</v>
      </c>
      <c r="B18" t="s">
        <v>337</v>
      </c>
      <c r="C18" t="b">
        <v>1</v>
      </c>
      <c r="D18">
        <v>10</v>
      </c>
      <c r="E18">
        <v>10</v>
      </c>
    </row>
    <row r="19" spans="1:5">
      <c r="A19" t="s">
        <v>625</v>
      </c>
      <c r="B19" t="s">
        <v>339</v>
      </c>
      <c r="C19" t="b">
        <v>1</v>
      </c>
      <c r="D19">
        <v>10</v>
      </c>
      <c r="E19">
        <v>10</v>
      </c>
    </row>
    <row r="20" spans="1:5">
      <c r="A20" t="s">
        <v>625</v>
      </c>
      <c r="B20" t="s">
        <v>341</v>
      </c>
      <c r="C20" t="b">
        <v>0</v>
      </c>
      <c r="D20">
        <v>10</v>
      </c>
      <c r="E20">
        <v>0</v>
      </c>
    </row>
    <row r="21" spans="1:5">
      <c r="A21" t="s">
        <v>625</v>
      </c>
      <c r="B21" t="s">
        <v>619</v>
      </c>
      <c r="C21" t="b">
        <v>1</v>
      </c>
      <c r="D21">
        <v>6</v>
      </c>
      <c r="E21">
        <v>6</v>
      </c>
    </row>
    <row r="22" spans="1:5">
      <c r="A22" t="s">
        <v>625</v>
      </c>
      <c r="B22" t="s">
        <v>620</v>
      </c>
      <c r="C22" t="b">
        <v>1</v>
      </c>
      <c r="D22">
        <v>6</v>
      </c>
      <c r="E22">
        <v>6</v>
      </c>
    </row>
    <row r="23" spans="1:5">
      <c r="A23" t="s">
        <v>625</v>
      </c>
      <c r="B23" t="s">
        <v>621</v>
      </c>
      <c r="C23" t="b">
        <v>1</v>
      </c>
      <c r="D23">
        <v>6</v>
      </c>
      <c r="E23">
        <v>6</v>
      </c>
    </row>
    <row r="24" spans="1:5">
      <c r="A24" t="s">
        <v>625</v>
      </c>
      <c r="B24" t="s">
        <v>622</v>
      </c>
      <c r="C24" t="b">
        <v>1</v>
      </c>
      <c r="D24">
        <v>6</v>
      </c>
      <c r="E24">
        <v>6</v>
      </c>
    </row>
    <row r="25" spans="1:5">
      <c r="A25" t="s">
        <v>625</v>
      </c>
      <c r="B25" t="s">
        <v>623</v>
      </c>
      <c r="C25" t="b">
        <v>1</v>
      </c>
      <c r="D25">
        <v>6</v>
      </c>
      <c r="E25">
        <v>6</v>
      </c>
    </row>
    <row r="26" spans="1:5">
      <c r="A26" t="s">
        <v>625</v>
      </c>
      <c r="B26" t="s">
        <v>624</v>
      </c>
      <c r="C26" t="b">
        <v>1</v>
      </c>
      <c r="D26">
        <v>6</v>
      </c>
      <c r="E26">
        <v>6</v>
      </c>
    </row>
    <row r="27" spans="1:5">
      <c r="A27" t="s">
        <v>625</v>
      </c>
      <c r="B27" t="s">
        <v>344</v>
      </c>
      <c r="C27" t="b">
        <v>1</v>
      </c>
      <c r="D27">
        <v>6</v>
      </c>
      <c r="E27">
        <v>6</v>
      </c>
    </row>
    <row r="28" spans="1:5">
      <c r="A28" t="s">
        <v>625</v>
      </c>
      <c r="B28" t="s">
        <v>346</v>
      </c>
      <c r="C28" t="b">
        <v>1</v>
      </c>
      <c r="D28">
        <v>10</v>
      </c>
      <c r="E28">
        <v>10</v>
      </c>
    </row>
    <row r="29" spans="1:5">
      <c r="A29" t="s">
        <v>625</v>
      </c>
      <c r="B29" t="s">
        <v>348</v>
      </c>
      <c r="C29" t="b">
        <v>1</v>
      </c>
      <c r="D29">
        <v>6</v>
      </c>
      <c r="E29">
        <v>6</v>
      </c>
    </row>
    <row r="30" spans="1:5">
      <c r="A30" t="s">
        <v>625</v>
      </c>
      <c r="B30" t="s">
        <v>350</v>
      </c>
      <c r="C30" t="b">
        <v>1</v>
      </c>
      <c r="D30">
        <v>7</v>
      </c>
      <c r="E30">
        <v>7</v>
      </c>
    </row>
    <row r="31" spans="1:5">
      <c r="A31" t="s">
        <v>625</v>
      </c>
      <c r="B31" t="s">
        <v>352</v>
      </c>
      <c r="C31" t="b">
        <v>1</v>
      </c>
      <c r="D31">
        <v>7</v>
      </c>
      <c r="E31">
        <v>7</v>
      </c>
    </row>
    <row r="32" spans="1:5">
      <c r="A32" t="s">
        <v>625</v>
      </c>
      <c r="B32" t="s">
        <v>354</v>
      </c>
      <c r="C32" t="b">
        <v>1</v>
      </c>
      <c r="D32">
        <v>6</v>
      </c>
      <c r="E32">
        <v>6</v>
      </c>
    </row>
    <row r="33" spans="1:5">
      <c r="A33" t="s">
        <v>625</v>
      </c>
      <c r="B33" t="s">
        <v>356</v>
      </c>
      <c r="C33" t="b">
        <v>1</v>
      </c>
      <c r="D33">
        <v>6</v>
      </c>
      <c r="E33">
        <v>6</v>
      </c>
    </row>
    <row r="34" spans="1:5">
      <c r="A34" t="s">
        <v>625</v>
      </c>
      <c r="B34" t="s">
        <v>358</v>
      </c>
      <c r="C34" t="b">
        <v>1</v>
      </c>
      <c r="D34">
        <v>7</v>
      </c>
      <c r="E34">
        <v>7</v>
      </c>
    </row>
    <row r="35" spans="1:5">
      <c r="A35" t="s">
        <v>625</v>
      </c>
      <c r="B35" t="s">
        <v>360</v>
      </c>
      <c r="C35" t="b">
        <v>1</v>
      </c>
      <c r="D35">
        <v>7</v>
      </c>
      <c r="E35">
        <v>7</v>
      </c>
    </row>
    <row r="36" spans="1:5">
      <c r="A36" t="s">
        <v>625</v>
      </c>
      <c r="B36" t="s">
        <v>362</v>
      </c>
      <c r="C36" t="b">
        <v>1</v>
      </c>
      <c r="D36">
        <v>6</v>
      </c>
      <c r="E36">
        <v>6</v>
      </c>
    </row>
    <row r="37" spans="1:5">
      <c r="A37" t="s">
        <v>625</v>
      </c>
      <c r="B37" t="s">
        <v>364</v>
      </c>
      <c r="C37" t="b">
        <v>1</v>
      </c>
      <c r="D37">
        <v>10</v>
      </c>
      <c r="E37">
        <v>10</v>
      </c>
    </row>
    <row r="38" spans="1:5">
      <c r="A38" t="s">
        <v>625</v>
      </c>
      <c r="B38" t="s">
        <v>366</v>
      </c>
      <c r="C38" t="b">
        <v>1</v>
      </c>
      <c r="D38">
        <v>7</v>
      </c>
      <c r="E38">
        <v>7</v>
      </c>
    </row>
    <row r="39" spans="1:5">
      <c r="A39" t="s">
        <v>625</v>
      </c>
      <c r="B39" t="s">
        <v>368</v>
      </c>
      <c r="C39" t="b">
        <v>1</v>
      </c>
      <c r="D39">
        <v>7</v>
      </c>
      <c r="E39">
        <v>7</v>
      </c>
    </row>
    <row r="40" spans="1:5">
      <c r="A40" t="s">
        <v>625</v>
      </c>
      <c r="B40" t="s">
        <v>370</v>
      </c>
      <c r="C40" t="b">
        <v>1</v>
      </c>
      <c r="D40">
        <v>10</v>
      </c>
      <c r="E40">
        <v>10</v>
      </c>
    </row>
    <row r="41" spans="1:5">
      <c r="A41" t="s">
        <v>625</v>
      </c>
      <c r="B41" t="s">
        <v>371</v>
      </c>
      <c r="C41" t="b">
        <v>1</v>
      </c>
      <c r="D41">
        <v>7</v>
      </c>
      <c r="E41">
        <v>7</v>
      </c>
    </row>
    <row r="42" spans="1:5">
      <c r="A42" t="s">
        <v>625</v>
      </c>
      <c r="B42" t="s">
        <v>373</v>
      </c>
      <c r="C42" t="b">
        <v>1</v>
      </c>
      <c r="D42">
        <v>10</v>
      </c>
      <c r="E42">
        <v>10</v>
      </c>
    </row>
    <row r="43" spans="1:5">
      <c r="A43" t="s">
        <v>625</v>
      </c>
      <c r="B43" t="s">
        <v>375</v>
      </c>
      <c r="C43" t="b">
        <v>1</v>
      </c>
      <c r="D43">
        <v>7</v>
      </c>
      <c r="E43">
        <v>7</v>
      </c>
    </row>
    <row r="44" spans="1:5">
      <c r="A44" t="s">
        <v>625</v>
      </c>
      <c r="B44" t="s">
        <v>377</v>
      </c>
      <c r="C44" t="b">
        <v>1</v>
      </c>
      <c r="D44">
        <v>7</v>
      </c>
      <c r="E44">
        <v>7</v>
      </c>
    </row>
    <row r="45" spans="1:5">
      <c r="A45" t="s">
        <v>625</v>
      </c>
      <c r="B45" t="s">
        <v>462</v>
      </c>
      <c r="C45" t="b">
        <v>1</v>
      </c>
      <c r="D45">
        <v>10</v>
      </c>
      <c r="E45">
        <v>10</v>
      </c>
    </row>
    <row r="46" spans="1:5">
      <c r="A46" t="s">
        <v>625</v>
      </c>
      <c r="B46" t="s">
        <v>464</v>
      </c>
      <c r="C46" t="b">
        <v>1</v>
      </c>
      <c r="D46">
        <v>7</v>
      </c>
      <c r="E46">
        <v>7</v>
      </c>
    </row>
    <row r="47" spans="1:5">
      <c r="A47" t="s">
        <v>625</v>
      </c>
      <c r="B47" t="s">
        <v>466</v>
      </c>
      <c r="C47" t="b">
        <v>1</v>
      </c>
      <c r="D47">
        <v>7</v>
      </c>
      <c r="E47">
        <v>7</v>
      </c>
    </row>
    <row r="48" spans="1:5">
      <c r="A48" t="s">
        <v>625</v>
      </c>
      <c r="B48" t="s">
        <v>468</v>
      </c>
      <c r="C48" t="b">
        <v>1</v>
      </c>
      <c r="D48">
        <v>10</v>
      </c>
      <c r="E48">
        <v>10</v>
      </c>
    </row>
    <row r="49" spans="1:5">
      <c r="A49" t="s">
        <v>625</v>
      </c>
      <c r="B49" t="s">
        <v>379</v>
      </c>
      <c r="C49" t="b">
        <v>1</v>
      </c>
      <c r="D49">
        <v>26</v>
      </c>
      <c r="E49">
        <v>26</v>
      </c>
    </row>
    <row r="50" spans="1:5">
      <c r="A50" t="s">
        <v>625</v>
      </c>
      <c r="B50" t="s">
        <v>534</v>
      </c>
      <c r="C50" t="b">
        <v>0</v>
      </c>
      <c r="D50">
        <v>0</v>
      </c>
      <c r="E50">
        <v>0</v>
      </c>
    </row>
    <row r="51" spans="1:5">
      <c r="A51" t="s">
        <v>625</v>
      </c>
      <c r="B51" t="s">
        <v>380</v>
      </c>
      <c r="C51" t="b">
        <v>0</v>
      </c>
      <c r="D51">
        <v>43</v>
      </c>
      <c r="E51">
        <v>25</v>
      </c>
    </row>
    <row r="52" spans="1:5">
      <c r="A52" t="s">
        <v>625</v>
      </c>
      <c r="B52" t="s">
        <v>381</v>
      </c>
      <c r="C52" t="b">
        <v>1</v>
      </c>
      <c r="D52">
        <v>38</v>
      </c>
      <c r="E52">
        <v>38</v>
      </c>
    </row>
    <row r="53" spans="1:5">
      <c r="A53" t="s">
        <v>625</v>
      </c>
      <c r="B53" t="s">
        <v>382</v>
      </c>
      <c r="C53" t="b">
        <v>1</v>
      </c>
      <c r="D53">
        <v>7</v>
      </c>
      <c r="E53">
        <v>7</v>
      </c>
    </row>
    <row r="54" spans="1:5">
      <c r="A54" t="s">
        <v>625</v>
      </c>
      <c r="B54" t="s">
        <v>535</v>
      </c>
      <c r="C54" t="b">
        <v>0</v>
      </c>
      <c r="D54">
        <v>0</v>
      </c>
      <c r="E54">
        <v>0</v>
      </c>
    </row>
    <row r="55" spans="1:5">
      <c r="A55" t="s">
        <v>625</v>
      </c>
      <c r="B55" t="s">
        <v>383</v>
      </c>
      <c r="C55" t="b">
        <v>0</v>
      </c>
      <c r="D55">
        <v>82</v>
      </c>
      <c r="E55">
        <v>72</v>
      </c>
    </row>
    <row r="56" spans="1:5">
      <c r="A56" t="s">
        <v>625</v>
      </c>
      <c r="B56" t="s">
        <v>384</v>
      </c>
      <c r="C56" t="b">
        <v>1</v>
      </c>
      <c r="D56">
        <v>62</v>
      </c>
      <c r="E56">
        <v>62</v>
      </c>
    </row>
    <row r="57" spans="1:5">
      <c r="A57" t="s">
        <v>625</v>
      </c>
      <c r="B57" t="s">
        <v>536</v>
      </c>
      <c r="C57" t="b">
        <v>0</v>
      </c>
      <c r="D57">
        <v>0</v>
      </c>
      <c r="E57">
        <v>0</v>
      </c>
    </row>
    <row r="58" spans="1:5">
      <c r="A58" t="s">
        <v>625</v>
      </c>
      <c r="B58" t="s">
        <v>385</v>
      </c>
      <c r="C58" t="b">
        <v>1</v>
      </c>
      <c r="D58">
        <v>41</v>
      </c>
      <c r="E58">
        <v>41</v>
      </c>
    </row>
    <row r="59" spans="1:5">
      <c r="A59" t="s">
        <v>625</v>
      </c>
      <c r="B59" t="s">
        <v>386</v>
      </c>
      <c r="C59" t="b">
        <v>1</v>
      </c>
      <c r="D59">
        <v>34</v>
      </c>
      <c r="E59">
        <v>34</v>
      </c>
    </row>
    <row r="60" spans="1:5">
      <c r="A60" t="s">
        <v>625</v>
      </c>
      <c r="B60" t="s">
        <v>387</v>
      </c>
      <c r="C60" t="b">
        <v>1</v>
      </c>
      <c r="D60">
        <v>14</v>
      </c>
      <c r="E60">
        <v>14</v>
      </c>
    </row>
    <row r="61" spans="1:5">
      <c r="A61" t="s">
        <v>625</v>
      </c>
      <c r="B61" t="s">
        <v>388</v>
      </c>
      <c r="C61" t="b">
        <v>1</v>
      </c>
      <c r="D61">
        <v>10</v>
      </c>
      <c r="E61">
        <v>10</v>
      </c>
    </row>
    <row r="62" spans="1:5">
      <c r="A62" t="s">
        <v>625</v>
      </c>
      <c r="B62" t="s">
        <v>389</v>
      </c>
      <c r="C62" t="b">
        <v>0</v>
      </c>
      <c r="D62">
        <v>114</v>
      </c>
      <c r="E62">
        <v>96</v>
      </c>
    </row>
    <row r="63" spans="1:5">
      <c r="A63" t="s">
        <v>625</v>
      </c>
      <c r="B63" t="s">
        <v>390</v>
      </c>
      <c r="C63" t="b">
        <v>0</v>
      </c>
      <c r="D63">
        <v>144</v>
      </c>
      <c r="E63">
        <v>134</v>
      </c>
    </row>
    <row r="64" spans="1:5">
      <c r="A64" t="s">
        <v>625</v>
      </c>
      <c r="B64" t="s">
        <v>391</v>
      </c>
      <c r="C64" t="b">
        <v>1</v>
      </c>
      <c r="D64">
        <v>99</v>
      </c>
      <c r="E64">
        <v>99</v>
      </c>
    </row>
    <row r="65" spans="1:5">
      <c r="A65" t="s">
        <v>625</v>
      </c>
      <c r="B65" t="s">
        <v>392</v>
      </c>
      <c r="C65" t="b">
        <v>0</v>
      </c>
      <c r="D65">
        <v>357</v>
      </c>
      <c r="E65">
        <v>329</v>
      </c>
    </row>
  </sheetData>
  <sheetProtection algorithmName="SHA-512" hashValue="0DMEZcV37jA3H/jBbuD7dLRJ7cLVRj5SDY0t2wd7WAQ9lbBLq9cqtQvVHNaNnf1IQfSb9u98eeuDX+rKHl3dPw==" saltValue="gZ23OwvDvub0ErOeqHUEfw==" spinCount="100000" sheet="1" objects="1" scenarios="1" formatCells="0"/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62"/>
  <sheetViews>
    <sheetView workbookViewId="0">
      <pane ySplit="1" topLeftCell="A2" activePane="bottomLeft" state="frozen"/>
      <selection sqref="A1:G1"/>
      <selection pane="bottomLeft" activeCell="A2" sqref="A2"/>
    </sheetView>
  </sheetViews>
  <sheetFormatPr defaultColWidth="9.1796875" defaultRowHeight="14.5"/>
  <cols>
    <col min="1" max="1" width="24.81640625" customWidth="1"/>
    <col min="2" max="2" width="19" customWidth="1"/>
    <col min="3" max="3" width="14.7265625" customWidth="1"/>
    <col min="4" max="4" width="16" customWidth="1"/>
    <col min="5" max="5" width="9.26953125" style="1"/>
    <col min="6" max="6" width="21.26953125" customWidth="1"/>
  </cols>
  <sheetData>
    <row r="1" spans="1:6" s="2" customFormat="1">
      <c r="A1" s="2" t="s">
        <v>310</v>
      </c>
      <c r="B1" s="2" t="s">
        <v>311</v>
      </c>
      <c r="C1" s="2" t="s">
        <v>312</v>
      </c>
      <c r="D1" s="2" t="s">
        <v>313</v>
      </c>
      <c r="E1" s="3"/>
      <c r="F1" s="2" t="s">
        <v>559</v>
      </c>
    </row>
    <row r="2" spans="1:6">
      <c r="A2" t="s">
        <v>314</v>
      </c>
      <c r="B2" t="s">
        <v>315</v>
      </c>
      <c r="C2" t="s">
        <v>397</v>
      </c>
      <c r="E2"/>
      <c r="F2" t="s">
        <v>534</v>
      </c>
    </row>
    <row r="3" spans="1:6">
      <c r="A3" t="s">
        <v>316</v>
      </c>
      <c r="B3" t="s">
        <v>317</v>
      </c>
      <c r="C3" t="s">
        <v>401</v>
      </c>
      <c r="E3"/>
      <c r="F3" t="s">
        <v>535</v>
      </c>
    </row>
    <row r="4" spans="1:6">
      <c r="A4" t="s">
        <v>318</v>
      </c>
      <c r="B4" t="s">
        <v>319</v>
      </c>
      <c r="C4" t="s">
        <v>332</v>
      </c>
      <c r="E4"/>
      <c r="F4" t="s">
        <v>536</v>
      </c>
    </row>
    <row r="5" spans="1:6">
      <c r="A5" t="s">
        <v>320</v>
      </c>
      <c r="B5" t="s">
        <v>321</v>
      </c>
      <c r="C5" t="s">
        <v>334</v>
      </c>
      <c r="E5"/>
    </row>
    <row r="6" spans="1:6">
      <c r="A6" t="s">
        <v>533</v>
      </c>
      <c r="B6" t="s">
        <v>322</v>
      </c>
      <c r="C6" t="s">
        <v>336</v>
      </c>
      <c r="E6"/>
    </row>
    <row r="7" spans="1:6">
      <c r="B7" t="s">
        <v>323</v>
      </c>
      <c r="C7" t="s">
        <v>338</v>
      </c>
      <c r="E7"/>
    </row>
    <row r="8" spans="1:6">
      <c r="B8" t="s">
        <v>324</v>
      </c>
      <c r="C8" t="s">
        <v>340</v>
      </c>
      <c r="E8"/>
    </row>
    <row r="9" spans="1:6">
      <c r="B9" t="s">
        <v>325</v>
      </c>
      <c r="C9" t="s">
        <v>342</v>
      </c>
      <c r="E9"/>
    </row>
    <row r="10" spans="1:6">
      <c r="B10" t="s">
        <v>326</v>
      </c>
      <c r="C10" t="s">
        <v>343</v>
      </c>
      <c r="E10"/>
    </row>
    <row r="11" spans="1:6">
      <c r="B11" t="s">
        <v>327</v>
      </c>
      <c r="C11" t="s">
        <v>345</v>
      </c>
      <c r="E11"/>
    </row>
    <row r="12" spans="1:6">
      <c r="B12" t="s">
        <v>328</v>
      </c>
      <c r="C12" t="s">
        <v>347</v>
      </c>
      <c r="E12"/>
    </row>
    <row r="13" spans="1:6">
      <c r="B13" t="s">
        <v>329</v>
      </c>
      <c r="C13" t="s">
        <v>349</v>
      </c>
      <c r="E13"/>
    </row>
    <row r="14" spans="1:6">
      <c r="B14" t="s">
        <v>330</v>
      </c>
      <c r="C14" t="s">
        <v>351</v>
      </c>
      <c r="E14"/>
    </row>
    <row r="15" spans="1:6">
      <c r="B15" t="s">
        <v>331</v>
      </c>
      <c r="C15" t="s">
        <v>353</v>
      </c>
      <c r="E15"/>
    </row>
    <row r="16" spans="1:6">
      <c r="B16" t="s">
        <v>333</v>
      </c>
      <c r="C16" t="s">
        <v>355</v>
      </c>
      <c r="E16"/>
    </row>
    <row r="17" spans="2:5">
      <c r="B17" t="s">
        <v>335</v>
      </c>
      <c r="C17" t="s">
        <v>402</v>
      </c>
      <c r="E17"/>
    </row>
    <row r="18" spans="2:5">
      <c r="B18" t="s">
        <v>337</v>
      </c>
      <c r="C18" t="s">
        <v>398</v>
      </c>
      <c r="E18"/>
    </row>
    <row r="19" spans="2:5">
      <c r="B19" t="s">
        <v>339</v>
      </c>
      <c r="C19" t="s">
        <v>357</v>
      </c>
      <c r="E19"/>
    </row>
    <row r="20" spans="2:5">
      <c r="B20" t="s">
        <v>341</v>
      </c>
      <c r="C20" t="s">
        <v>359</v>
      </c>
      <c r="E20"/>
    </row>
    <row r="21" spans="2:5">
      <c r="B21" t="s">
        <v>619</v>
      </c>
      <c r="C21" t="s">
        <v>361</v>
      </c>
      <c r="E21"/>
    </row>
    <row r="22" spans="2:5">
      <c r="B22" t="s">
        <v>620</v>
      </c>
      <c r="C22" t="s">
        <v>363</v>
      </c>
      <c r="E22"/>
    </row>
    <row r="23" spans="2:5">
      <c r="B23" t="s">
        <v>621</v>
      </c>
      <c r="C23" t="s">
        <v>365</v>
      </c>
      <c r="E23"/>
    </row>
    <row r="24" spans="2:5">
      <c r="B24" t="s">
        <v>622</v>
      </c>
      <c r="C24" t="s">
        <v>367</v>
      </c>
      <c r="E24"/>
    </row>
    <row r="25" spans="2:5">
      <c r="B25" t="s">
        <v>623</v>
      </c>
      <c r="C25" t="s">
        <v>369</v>
      </c>
      <c r="E25"/>
    </row>
    <row r="26" spans="2:5">
      <c r="B26" t="s">
        <v>624</v>
      </c>
      <c r="C26" t="s">
        <v>475</v>
      </c>
      <c r="E26"/>
    </row>
    <row r="27" spans="2:5">
      <c r="B27" t="s">
        <v>344</v>
      </c>
      <c r="C27" t="s">
        <v>372</v>
      </c>
      <c r="E27"/>
    </row>
    <row r="28" spans="2:5">
      <c r="B28" t="s">
        <v>346</v>
      </c>
      <c r="C28" t="s">
        <v>374</v>
      </c>
      <c r="E28"/>
    </row>
    <row r="29" spans="2:5">
      <c r="B29" t="s">
        <v>348</v>
      </c>
      <c r="C29" t="s">
        <v>376</v>
      </c>
      <c r="E29"/>
    </row>
    <row r="30" spans="2:5">
      <c r="B30" t="s">
        <v>350</v>
      </c>
      <c r="C30" t="s">
        <v>378</v>
      </c>
      <c r="E30"/>
    </row>
    <row r="31" spans="2:5">
      <c r="B31" t="s">
        <v>352</v>
      </c>
      <c r="C31" t="s">
        <v>403</v>
      </c>
      <c r="E31"/>
    </row>
    <row r="32" spans="2:5">
      <c r="B32" t="s">
        <v>354</v>
      </c>
      <c r="C32" t="s">
        <v>404</v>
      </c>
      <c r="E32"/>
    </row>
    <row r="33" spans="2:5">
      <c r="B33" t="s">
        <v>356</v>
      </c>
      <c r="C33" t="s">
        <v>405</v>
      </c>
      <c r="E33"/>
    </row>
    <row r="34" spans="2:5">
      <c r="B34" t="s">
        <v>358</v>
      </c>
      <c r="C34" t="s">
        <v>399</v>
      </c>
      <c r="E34"/>
    </row>
    <row r="35" spans="2:5">
      <c r="B35" t="s">
        <v>360</v>
      </c>
      <c r="C35" t="s">
        <v>406</v>
      </c>
      <c r="E35"/>
    </row>
    <row r="36" spans="2:5">
      <c r="B36" t="s">
        <v>362</v>
      </c>
      <c r="C36" t="s">
        <v>400</v>
      </c>
      <c r="E36"/>
    </row>
    <row r="37" spans="2:5">
      <c r="B37" t="s">
        <v>364</v>
      </c>
      <c r="C37" t="s">
        <v>456</v>
      </c>
      <c r="E37"/>
    </row>
    <row r="38" spans="2:5">
      <c r="B38" t="s">
        <v>366</v>
      </c>
      <c r="C38" t="s">
        <v>457</v>
      </c>
      <c r="E38"/>
    </row>
    <row r="39" spans="2:5">
      <c r="B39" t="s">
        <v>368</v>
      </c>
      <c r="C39" t="s">
        <v>458</v>
      </c>
      <c r="E39"/>
    </row>
    <row r="40" spans="2:5">
      <c r="B40" t="s">
        <v>370</v>
      </c>
      <c r="C40" t="s">
        <v>459</v>
      </c>
      <c r="E40"/>
    </row>
    <row r="41" spans="2:5">
      <c r="B41" t="s">
        <v>371</v>
      </c>
      <c r="C41" t="s">
        <v>460</v>
      </c>
      <c r="E41"/>
    </row>
    <row r="42" spans="2:5">
      <c r="B42" t="s">
        <v>373</v>
      </c>
      <c r="C42" t="s">
        <v>461</v>
      </c>
      <c r="E42"/>
    </row>
    <row r="43" spans="2:5">
      <c r="B43" t="s">
        <v>375</v>
      </c>
      <c r="C43" t="s">
        <v>463</v>
      </c>
      <c r="E43"/>
    </row>
    <row r="44" spans="2:5">
      <c r="B44" t="s">
        <v>377</v>
      </c>
      <c r="C44" t="s">
        <v>465</v>
      </c>
      <c r="E44"/>
    </row>
    <row r="45" spans="2:5">
      <c r="B45" t="s">
        <v>462</v>
      </c>
      <c r="C45" t="s">
        <v>467</v>
      </c>
      <c r="E45"/>
    </row>
    <row r="46" spans="2:5">
      <c r="B46" t="s">
        <v>464</v>
      </c>
      <c r="C46" t="s">
        <v>469</v>
      </c>
      <c r="E46"/>
    </row>
    <row r="47" spans="2:5">
      <c r="B47" t="s">
        <v>466</v>
      </c>
      <c r="C47" t="s">
        <v>581</v>
      </c>
      <c r="E47"/>
    </row>
    <row r="48" spans="2:5">
      <c r="B48" t="s">
        <v>468</v>
      </c>
      <c r="C48" t="s">
        <v>582</v>
      </c>
      <c r="E48"/>
    </row>
    <row r="49" spans="2:4">
      <c r="B49" t="s">
        <v>379</v>
      </c>
      <c r="C49" t="s">
        <v>396</v>
      </c>
      <c r="D49" t="s">
        <v>583</v>
      </c>
    </row>
    <row r="50" spans="2:4">
      <c r="B50" t="s">
        <v>380</v>
      </c>
      <c r="C50" t="s">
        <v>584</v>
      </c>
      <c r="D50" t="s">
        <v>585</v>
      </c>
    </row>
    <row r="51" spans="2:4">
      <c r="B51" t="s">
        <v>381</v>
      </c>
      <c r="C51" t="s">
        <v>586</v>
      </c>
      <c r="D51" t="s">
        <v>470</v>
      </c>
    </row>
    <row r="52" spans="2:4">
      <c r="B52" t="s">
        <v>382</v>
      </c>
      <c r="C52" t="s">
        <v>587</v>
      </c>
      <c r="D52" t="s">
        <v>587</v>
      </c>
    </row>
    <row r="53" spans="2:4">
      <c r="B53" t="s">
        <v>383</v>
      </c>
      <c r="C53" t="s">
        <v>588</v>
      </c>
      <c r="D53" t="s">
        <v>589</v>
      </c>
    </row>
    <row r="54" spans="2:4">
      <c r="B54" t="s">
        <v>384</v>
      </c>
      <c r="C54" t="s">
        <v>590</v>
      </c>
      <c r="D54" t="s">
        <v>591</v>
      </c>
    </row>
    <row r="55" spans="2:4">
      <c r="B55" t="s">
        <v>385</v>
      </c>
      <c r="C55" t="s">
        <v>592</v>
      </c>
      <c r="D55" t="s">
        <v>593</v>
      </c>
    </row>
    <row r="56" spans="2:4">
      <c r="B56" t="s">
        <v>386</v>
      </c>
      <c r="C56" t="s">
        <v>594</v>
      </c>
      <c r="D56" t="s">
        <v>471</v>
      </c>
    </row>
    <row r="57" spans="2:4">
      <c r="B57" t="s">
        <v>387</v>
      </c>
      <c r="C57" t="s">
        <v>472</v>
      </c>
      <c r="D57" t="s">
        <v>595</v>
      </c>
    </row>
    <row r="58" spans="2:4">
      <c r="B58" t="s">
        <v>388</v>
      </c>
      <c r="C58" t="s">
        <v>596</v>
      </c>
      <c r="D58" t="s">
        <v>596</v>
      </c>
    </row>
    <row r="59" spans="2:4">
      <c r="B59" t="s">
        <v>389</v>
      </c>
      <c r="C59" t="s">
        <v>522</v>
      </c>
    </row>
    <row r="60" spans="2:4">
      <c r="B60" t="s">
        <v>390</v>
      </c>
      <c r="C60" t="s">
        <v>523</v>
      </c>
    </row>
    <row r="61" spans="2:4">
      <c r="B61" t="s">
        <v>391</v>
      </c>
      <c r="C61" t="s">
        <v>524</v>
      </c>
    </row>
    <row r="62" spans="2:4">
      <c r="B62" t="s">
        <v>392</v>
      </c>
      <c r="C62" t="s">
        <v>525</v>
      </c>
    </row>
  </sheetData>
  <sheetProtection algorithmName="SHA-512" hashValue="GdkyDqEA/i9pcd2Jaxh+uL7W4txbZzgyu/KZcgg+ylviYgL7aMulAIqVjPSFAEuIZH+YuQ5osrgN4Mt+r3GM8A==" saltValue="zZ4A+bnjuR9fMM4XFkcHBg==" spinCount="100000" sheet="1" objects="1" scenarios="1" formatCells="0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33"/>
  <sheetViews>
    <sheetView workbookViewId="0">
      <selection sqref="A1:G1"/>
    </sheetView>
  </sheetViews>
  <sheetFormatPr defaultColWidth="9.26953125" defaultRowHeight="14.5"/>
  <cols>
    <col min="1" max="1" width="13.26953125" style="216" customWidth="1"/>
    <col min="2" max="2" width="18.7265625" customWidth="1"/>
    <col min="3" max="3" width="18.26953125" customWidth="1"/>
    <col min="4" max="16384" width="9.26953125" style="207"/>
  </cols>
  <sheetData>
    <row r="1" spans="1:3">
      <c r="A1" s="216" t="s">
        <v>603</v>
      </c>
      <c r="B1" t="s">
        <v>604</v>
      </c>
      <c r="C1" t="s">
        <v>605</v>
      </c>
    </row>
    <row r="2" spans="1:3">
      <c r="A2" s="217">
        <v>17066074</v>
      </c>
      <c r="B2" s="207" t="s">
        <v>606</v>
      </c>
      <c r="C2" s="207" t="s">
        <v>3</v>
      </c>
    </row>
    <row r="3" spans="1:3">
      <c r="A3" s="217">
        <v>17066074</v>
      </c>
      <c r="B3" s="207" t="s">
        <v>607</v>
      </c>
      <c r="C3" s="207" t="s">
        <v>295</v>
      </c>
    </row>
    <row r="4" spans="1:3">
      <c r="A4" s="217">
        <v>17066074</v>
      </c>
      <c r="B4" s="207" t="s">
        <v>608</v>
      </c>
      <c r="C4" s="207" t="s">
        <v>298</v>
      </c>
    </row>
    <row r="5" spans="1:3">
      <c r="A5" s="217">
        <v>17066074</v>
      </c>
      <c r="B5" s="207" t="s">
        <v>315</v>
      </c>
      <c r="C5" s="207" t="s">
        <v>0</v>
      </c>
    </row>
    <row r="6" spans="1:3">
      <c r="A6" s="217">
        <v>17066074</v>
      </c>
      <c r="B6" s="207" t="s">
        <v>317</v>
      </c>
      <c r="C6" s="207" t="s">
        <v>0</v>
      </c>
    </row>
    <row r="7" spans="1:3">
      <c r="A7" s="217">
        <v>17066074</v>
      </c>
      <c r="B7" s="207" t="s">
        <v>319</v>
      </c>
      <c r="C7" s="207" t="s">
        <v>6</v>
      </c>
    </row>
    <row r="8" spans="1:3">
      <c r="A8" s="217">
        <v>17066074</v>
      </c>
      <c r="B8" s="207" t="s">
        <v>321</v>
      </c>
      <c r="C8" s="207" t="s">
        <v>0</v>
      </c>
    </row>
    <row r="9" spans="1:3">
      <c r="A9" s="217">
        <v>17066074</v>
      </c>
      <c r="B9" s="207" t="s">
        <v>322</v>
      </c>
      <c r="C9" s="207" t="s">
        <v>0</v>
      </c>
    </row>
    <row r="10" spans="1:3">
      <c r="A10" s="217">
        <v>17066074</v>
      </c>
      <c r="B10" s="207" t="s">
        <v>323</v>
      </c>
      <c r="C10" s="207" t="s">
        <v>6</v>
      </c>
    </row>
    <row r="11" spans="1:3">
      <c r="A11" s="217">
        <v>17066074</v>
      </c>
      <c r="B11" s="207" t="s">
        <v>324</v>
      </c>
      <c r="C11" s="207" t="s">
        <v>6</v>
      </c>
    </row>
    <row r="12" spans="1:3">
      <c r="A12" s="217">
        <v>17066074</v>
      </c>
      <c r="B12" s="207" t="s">
        <v>325</v>
      </c>
      <c r="C12" s="207" t="s">
        <v>6</v>
      </c>
    </row>
    <row r="13" spans="1:3">
      <c r="A13" s="217">
        <v>17066074</v>
      </c>
      <c r="B13" s="207" t="s">
        <v>326</v>
      </c>
      <c r="C13" s="207" t="s">
        <v>448</v>
      </c>
    </row>
    <row r="14" spans="1:3">
      <c r="A14" s="217">
        <v>17066074</v>
      </c>
      <c r="B14" s="207" t="s">
        <v>327</v>
      </c>
      <c r="C14" s="207" t="s">
        <v>448</v>
      </c>
    </row>
    <row r="15" spans="1:3">
      <c r="A15" s="217">
        <v>17066074</v>
      </c>
      <c r="B15" s="207" t="s">
        <v>328</v>
      </c>
      <c r="C15" s="207" t="s">
        <v>448</v>
      </c>
    </row>
    <row r="16" spans="1:3">
      <c r="A16" s="217">
        <v>17066074</v>
      </c>
      <c r="B16" s="207" t="s">
        <v>329</v>
      </c>
      <c r="C16" s="207" t="s">
        <v>448</v>
      </c>
    </row>
    <row r="17" spans="1:3">
      <c r="A17" s="217">
        <v>17066074</v>
      </c>
      <c r="B17" s="207" t="s">
        <v>330</v>
      </c>
      <c r="C17" s="207" t="s">
        <v>448</v>
      </c>
    </row>
    <row r="18" spans="1:3">
      <c r="A18" s="217">
        <v>17066074</v>
      </c>
      <c r="B18" s="207" t="s">
        <v>331</v>
      </c>
      <c r="C18" s="207" t="s">
        <v>448</v>
      </c>
    </row>
    <row r="19" spans="1:3">
      <c r="A19" s="217">
        <v>17066074</v>
      </c>
      <c r="B19" s="207" t="s">
        <v>333</v>
      </c>
      <c r="C19" s="207" t="s">
        <v>6</v>
      </c>
    </row>
    <row r="20" spans="1:3">
      <c r="A20" s="217">
        <v>17066074</v>
      </c>
      <c r="B20" s="207" t="s">
        <v>335</v>
      </c>
      <c r="C20" s="207" t="s">
        <v>0</v>
      </c>
    </row>
    <row r="21" spans="1:3">
      <c r="A21" s="217">
        <v>17066074</v>
      </c>
      <c r="B21" s="207" t="s">
        <v>337</v>
      </c>
      <c r="C21" s="207" t="s">
        <v>0</v>
      </c>
    </row>
    <row r="22" spans="1:3">
      <c r="A22" s="217">
        <v>17066074</v>
      </c>
      <c r="B22" s="207" t="s">
        <v>339</v>
      </c>
      <c r="C22" s="207" t="s">
        <v>0</v>
      </c>
    </row>
    <row r="23" spans="1:3">
      <c r="A23" s="217">
        <v>17066074</v>
      </c>
      <c r="B23" s="207" t="s">
        <v>341</v>
      </c>
      <c r="C23" s="207" t="s">
        <v>6</v>
      </c>
    </row>
    <row r="24" spans="1:3">
      <c r="A24" s="217">
        <v>17066074</v>
      </c>
      <c r="B24" s="207" t="s">
        <v>619</v>
      </c>
      <c r="C24" s="207" t="s">
        <v>6</v>
      </c>
    </row>
    <row r="25" spans="1:3">
      <c r="A25" s="217">
        <v>17066074</v>
      </c>
      <c r="B25" s="207" t="s">
        <v>620</v>
      </c>
      <c r="C25" s="207" t="s">
        <v>6</v>
      </c>
    </row>
    <row r="26" spans="1:3">
      <c r="A26" s="217">
        <v>17066074</v>
      </c>
      <c r="B26" s="207" t="s">
        <v>621</v>
      </c>
      <c r="C26" s="207" t="s">
        <v>6</v>
      </c>
    </row>
    <row r="27" spans="1:3">
      <c r="A27" s="217">
        <v>17066074</v>
      </c>
      <c r="B27" s="207" t="s">
        <v>622</v>
      </c>
      <c r="C27" s="207" t="s">
        <v>6</v>
      </c>
    </row>
    <row r="28" spans="1:3">
      <c r="A28" s="217">
        <v>17066074</v>
      </c>
      <c r="B28" s="207" t="s">
        <v>623</v>
      </c>
      <c r="C28" s="207" t="s">
        <v>6</v>
      </c>
    </row>
    <row r="29" spans="1:3">
      <c r="A29" s="217">
        <v>17066074</v>
      </c>
      <c r="B29" s="207" t="s">
        <v>624</v>
      </c>
      <c r="C29" s="207" t="s">
        <v>6</v>
      </c>
    </row>
    <row r="30" spans="1:3">
      <c r="A30" s="217">
        <v>17066074</v>
      </c>
      <c r="B30" s="207" t="s">
        <v>344</v>
      </c>
      <c r="C30" s="207" t="s">
        <v>6</v>
      </c>
    </row>
    <row r="31" spans="1:3">
      <c r="A31" s="217">
        <v>17066074</v>
      </c>
      <c r="B31" s="207" t="s">
        <v>346</v>
      </c>
      <c r="C31" s="207" t="s">
        <v>448</v>
      </c>
    </row>
    <row r="32" spans="1:3">
      <c r="A32" s="217">
        <v>17066074</v>
      </c>
      <c r="B32" s="207" t="s">
        <v>348</v>
      </c>
      <c r="C32" s="207" t="s">
        <v>448</v>
      </c>
    </row>
    <row r="33" spans="1:3">
      <c r="A33" s="217">
        <v>17066074</v>
      </c>
      <c r="B33" s="207" t="s">
        <v>350</v>
      </c>
      <c r="C33" s="207" t="s">
        <v>448</v>
      </c>
    </row>
    <row r="34" spans="1:3">
      <c r="A34" s="217">
        <v>17066074</v>
      </c>
      <c r="B34" s="207" t="s">
        <v>352</v>
      </c>
      <c r="C34" s="207" t="s">
        <v>448</v>
      </c>
    </row>
    <row r="35" spans="1:3">
      <c r="A35" s="217">
        <v>17066074</v>
      </c>
      <c r="B35" s="207" t="s">
        <v>354</v>
      </c>
      <c r="C35" s="207" t="s">
        <v>448</v>
      </c>
    </row>
    <row r="36" spans="1:3">
      <c r="A36" s="217">
        <v>17066074</v>
      </c>
      <c r="B36" s="207" t="s">
        <v>356</v>
      </c>
      <c r="C36" s="207" t="s">
        <v>448</v>
      </c>
    </row>
    <row r="37" spans="1:3">
      <c r="A37" s="217">
        <v>17066074</v>
      </c>
      <c r="B37" s="207" t="s">
        <v>358</v>
      </c>
      <c r="C37" s="207" t="s">
        <v>448</v>
      </c>
    </row>
    <row r="38" spans="1:3">
      <c r="A38" s="217">
        <v>17066074</v>
      </c>
      <c r="B38" s="207" t="s">
        <v>360</v>
      </c>
      <c r="C38" s="207" t="s">
        <v>448</v>
      </c>
    </row>
    <row r="39" spans="1:3">
      <c r="A39" s="217">
        <v>17066074</v>
      </c>
      <c r="B39" s="207" t="s">
        <v>362</v>
      </c>
      <c r="C39" s="207" t="s">
        <v>448</v>
      </c>
    </row>
    <row r="40" spans="1:3">
      <c r="A40" s="217">
        <v>17066074</v>
      </c>
      <c r="B40" s="207" t="s">
        <v>364</v>
      </c>
      <c r="C40" s="207" t="s">
        <v>0</v>
      </c>
    </row>
    <row r="41" spans="1:3">
      <c r="A41" s="217">
        <v>17066074</v>
      </c>
      <c r="B41" s="207" t="s">
        <v>366</v>
      </c>
      <c r="C41" s="207" t="s">
        <v>0</v>
      </c>
    </row>
    <row r="42" spans="1:3">
      <c r="A42" s="217">
        <v>17066074</v>
      </c>
      <c r="B42" s="207" t="s">
        <v>368</v>
      </c>
      <c r="C42" s="207" t="s">
        <v>0</v>
      </c>
    </row>
    <row r="43" spans="1:3">
      <c r="A43" s="217">
        <v>17066074</v>
      </c>
      <c r="B43" s="207" t="s">
        <v>370</v>
      </c>
      <c r="C43" s="207" t="s">
        <v>0</v>
      </c>
    </row>
    <row r="44" spans="1:3">
      <c r="A44" s="217">
        <v>17066074</v>
      </c>
      <c r="B44" s="207" t="s">
        <v>371</v>
      </c>
      <c r="C44" s="207" t="s">
        <v>6</v>
      </c>
    </row>
    <row r="45" spans="1:3">
      <c r="A45" s="217">
        <v>17066074</v>
      </c>
      <c r="B45" s="207" t="s">
        <v>373</v>
      </c>
      <c r="C45" s="207" t="s">
        <v>448</v>
      </c>
    </row>
    <row r="46" spans="1:3">
      <c r="A46" s="217">
        <v>17066074</v>
      </c>
      <c r="B46" s="207" t="s">
        <v>375</v>
      </c>
      <c r="C46" s="207" t="s">
        <v>448</v>
      </c>
    </row>
    <row r="47" spans="1:3">
      <c r="A47" s="217">
        <v>17066074</v>
      </c>
      <c r="B47" s="207" t="s">
        <v>377</v>
      </c>
      <c r="C47" s="207" t="s">
        <v>448</v>
      </c>
    </row>
    <row r="48" spans="1:3">
      <c r="A48" s="217">
        <v>17066074</v>
      </c>
      <c r="B48" s="207" t="s">
        <v>462</v>
      </c>
      <c r="C48" s="207" t="s">
        <v>448</v>
      </c>
    </row>
    <row r="49" spans="1:3">
      <c r="A49" s="217">
        <v>17066074</v>
      </c>
      <c r="B49" s="207" t="s">
        <v>464</v>
      </c>
      <c r="C49" s="207" t="s">
        <v>6</v>
      </c>
    </row>
    <row r="50" spans="1:3">
      <c r="A50" s="217">
        <v>17066074</v>
      </c>
      <c r="B50" s="207" t="s">
        <v>466</v>
      </c>
      <c r="C50" s="207" t="s">
        <v>0</v>
      </c>
    </row>
    <row r="51" spans="1:3">
      <c r="A51" s="217">
        <v>17066074</v>
      </c>
      <c r="B51" s="207" t="s">
        <v>468</v>
      </c>
      <c r="C51" s="207" t="s">
        <v>0</v>
      </c>
    </row>
    <row r="52" spans="1:3">
      <c r="A52" s="217">
        <v>17066074</v>
      </c>
      <c r="B52" s="207" t="s">
        <v>389</v>
      </c>
      <c r="C52" s="209"/>
    </row>
    <row r="53" spans="1:3">
      <c r="A53" s="217">
        <v>17066074</v>
      </c>
      <c r="B53" s="207" t="s">
        <v>390</v>
      </c>
      <c r="C53" s="209"/>
    </row>
    <row r="54" spans="1:3">
      <c r="A54" s="217">
        <v>17066074</v>
      </c>
      <c r="B54" s="207" t="s">
        <v>391</v>
      </c>
      <c r="C54" s="209"/>
    </row>
    <row r="55" spans="1:3">
      <c r="A55" s="217">
        <v>17066074</v>
      </c>
      <c r="B55" s="207" t="s">
        <v>392</v>
      </c>
      <c r="C55" s="209"/>
    </row>
    <row r="56" spans="1:3">
      <c r="A56" s="217">
        <v>18343633</v>
      </c>
      <c r="B56" s="207" t="s">
        <v>606</v>
      </c>
      <c r="C56" s="207" t="s">
        <v>36</v>
      </c>
    </row>
    <row r="57" spans="1:3">
      <c r="A57" s="217">
        <v>18343633</v>
      </c>
      <c r="B57" s="207" t="s">
        <v>607</v>
      </c>
      <c r="C57" s="207" t="s">
        <v>294</v>
      </c>
    </row>
    <row r="58" spans="1:3">
      <c r="A58" s="217">
        <v>18343633</v>
      </c>
      <c r="B58" s="207" t="s">
        <v>608</v>
      </c>
      <c r="C58" s="207" t="s">
        <v>298</v>
      </c>
    </row>
    <row r="59" spans="1:3">
      <c r="A59" s="217">
        <v>18343633</v>
      </c>
      <c r="B59" s="207" t="s">
        <v>315</v>
      </c>
      <c r="C59" s="207" t="s">
        <v>0</v>
      </c>
    </row>
    <row r="60" spans="1:3">
      <c r="A60" s="217">
        <v>18343633</v>
      </c>
      <c r="B60" s="207" t="s">
        <v>317</v>
      </c>
      <c r="C60" s="207" t="s">
        <v>0</v>
      </c>
    </row>
    <row r="61" spans="1:3">
      <c r="A61" s="217">
        <v>18343633</v>
      </c>
      <c r="B61" s="207" t="s">
        <v>319</v>
      </c>
      <c r="C61" s="207" t="s">
        <v>0</v>
      </c>
    </row>
    <row r="62" spans="1:3">
      <c r="A62" s="217">
        <v>18343633</v>
      </c>
      <c r="B62" s="207" t="s">
        <v>321</v>
      </c>
      <c r="C62" s="207" t="s">
        <v>6</v>
      </c>
    </row>
    <row r="63" spans="1:3">
      <c r="A63" s="217">
        <v>18343633</v>
      </c>
      <c r="B63" s="207" t="s">
        <v>322</v>
      </c>
      <c r="C63" s="207" t="s">
        <v>6</v>
      </c>
    </row>
    <row r="64" spans="1:3">
      <c r="A64" s="217">
        <v>18343633</v>
      </c>
      <c r="B64" s="207" t="s">
        <v>323</v>
      </c>
      <c r="C64" s="207" t="s">
        <v>6</v>
      </c>
    </row>
    <row r="65" spans="1:3">
      <c r="A65" s="217">
        <v>18343633</v>
      </c>
      <c r="B65" s="207" t="s">
        <v>324</v>
      </c>
      <c r="C65" s="207" t="s">
        <v>6</v>
      </c>
    </row>
    <row r="66" spans="1:3">
      <c r="A66" s="217">
        <v>18343633</v>
      </c>
      <c r="B66" s="207" t="s">
        <v>325</v>
      </c>
      <c r="C66" s="207" t="s">
        <v>6</v>
      </c>
    </row>
    <row r="67" spans="1:3">
      <c r="A67" s="217">
        <v>18343633</v>
      </c>
      <c r="B67" s="207" t="s">
        <v>326</v>
      </c>
      <c r="C67" s="207" t="s">
        <v>6</v>
      </c>
    </row>
    <row r="68" spans="1:3">
      <c r="A68" s="217">
        <v>18343633</v>
      </c>
      <c r="B68" s="207" t="s">
        <v>327</v>
      </c>
      <c r="C68" s="207" t="s">
        <v>6</v>
      </c>
    </row>
    <row r="69" spans="1:3">
      <c r="A69" s="217">
        <v>18343633</v>
      </c>
      <c r="B69" s="207" t="s">
        <v>328</v>
      </c>
      <c r="C69" s="207" t="s">
        <v>6</v>
      </c>
    </row>
    <row r="70" spans="1:3">
      <c r="A70" s="217">
        <v>18343633</v>
      </c>
      <c r="B70" s="207" t="s">
        <v>329</v>
      </c>
      <c r="C70" s="207" t="s">
        <v>6</v>
      </c>
    </row>
    <row r="71" spans="1:3">
      <c r="A71" s="217">
        <v>18343633</v>
      </c>
      <c r="B71" s="207" t="s">
        <v>330</v>
      </c>
      <c r="C71" s="207" t="s">
        <v>6</v>
      </c>
    </row>
    <row r="72" spans="1:3">
      <c r="A72" s="217">
        <v>18343633</v>
      </c>
      <c r="B72" s="207" t="s">
        <v>331</v>
      </c>
      <c r="C72" s="207" t="s">
        <v>6</v>
      </c>
    </row>
    <row r="73" spans="1:3">
      <c r="A73" s="217">
        <v>18343633</v>
      </c>
      <c r="B73" s="207" t="s">
        <v>333</v>
      </c>
      <c r="C73" s="207" t="s">
        <v>6</v>
      </c>
    </row>
    <row r="74" spans="1:3">
      <c r="A74" s="217">
        <v>18343633</v>
      </c>
      <c r="B74" s="207" t="s">
        <v>335</v>
      </c>
      <c r="C74" s="207" t="s">
        <v>0</v>
      </c>
    </row>
    <row r="75" spans="1:3">
      <c r="A75" s="217">
        <v>18343633</v>
      </c>
      <c r="B75" s="207" t="s">
        <v>337</v>
      </c>
      <c r="C75" s="207" t="s">
        <v>0</v>
      </c>
    </row>
    <row r="76" spans="1:3">
      <c r="A76" s="217">
        <v>18343633</v>
      </c>
      <c r="B76" s="207" t="s">
        <v>339</v>
      </c>
      <c r="C76" s="207" t="s">
        <v>0</v>
      </c>
    </row>
    <row r="77" spans="1:3">
      <c r="A77" s="217">
        <v>18343633</v>
      </c>
      <c r="B77" s="207" t="s">
        <v>341</v>
      </c>
      <c r="C77" s="207" t="s">
        <v>0</v>
      </c>
    </row>
    <row r="78" spans="1:3">
      <c r="A78" s="217">
        <v>18343633</v>
      </c>
      <c r="B78" s="207" t="s">
        <v>619</v>
      </c>
      <c r="C78" s="207" t="s">
        <v>6</v>
      </c>
    </row>
    <row r="79" spans="1:3">
      <c r="A79" s="217">
        <v>18343633</v>
      </c>
      <c r="B79" s="207" t="s">
        <v>620</v>
      </c>
      <c r="C79" s="207" t="s">
        <v>6</v>
      </c>
    </row>
    <row r="80" spans="1:3">
      <c r="A80" s="217">
        <v>18343633</v>
      </c>
      <c r="B80" s="207" t="s">
        <v>621</v>
      </c>
      <c r="C80" s="207" t="s">
        <v>6</v>
      </c>
    </row>
    <row r="81" spans="1:3">
      <c r="A81" s="217">
        <v>18343633</v>
      </c>
      <c r="B81" s="207" t="s">
        <v>622</v>
      </c>
      <c r="C81" s="207" t="s">
        <v>6</v>
      </c>
    </row>
    <row r="82" spans="1:3">
      <c r="A82" s="217">
        <v>18343633</v>
      </c>
      <c r="B82" s="207" t="s">
        <v>623</v>
      </c>
      <c r="C82" s="207" t="s">
        <v>6</v>
      </c>
    </row>
    <row r="83" spans="1:3">
      <c r="A83" s="217">
        <v>18343633</v>
      </c>
      <c r="B83" s="207" t="s">
        <v>624</v>
      </c>
      <c r="C83" s="207" t="s">
        <v>6</v>
      </c>
    </row>
    <row r="84" spans="1:3">
      <c r="A84" s="217">
        <v>18343633</v>
      </c>
      <c r="B84" s="207" t="s">
        <v>344</v>
      </c>
      <c r="C84" s="207" t="s">
        <v>6</v>
      </c>
    </row>
    <row r="85" spans="1:3">
      <c r="A85" s="217">
        <v>18343633</v>
      </c>
      <c r="B85" s="207" t="s">
        <v>346</v>
      </c>
      <c r="C85" s="207" t="s">
        <v>0</v>
      </c>
    </row>
    <row r="86" spans="1:3">
      <c r="A86" s="217">
        <v>18343633</v>
      </c>
      <c r="B86" s="207" t="s">
        <v>348</v>
      </c>
      <c r="C86" s="207" t="s">
        <v>0</v>
      </c>
    </row>
    <row r="87" spans="1:3">
      <c r="A87" s="217">
        <v>18343633</v>
      </c>
      <c r="B87" s="207" t="s">
        <v>350</v>
      </c>
      <c r="C87" s="207" t="s">
        <v>0</v>
      </c>
    </row>
    <row r="88" spans="1:3">
      <c r="A88" s="217">
        <v>18343633</v>
      </c>
      <c r="B88" s="207" t="s">
        <v>352</v>
      </c>
      <c r="C88" s="207" t="s">
        <v>0</v>
      </c>
    </row>
    <row r="89" spans="1:3">
      <c r="A89" s="217">
        <v>18343633</v>
      </c>
      <c r="B89" s="207" t="s">
        <v>354</v>
      </c>
      <c r="C89" s="207" t="s">
        <v>0</v>
      </c>
    </row>
    <row r="90" spans="1:3">
      <c r="A90" s="217">
        <v>18343633</v>
      </c>
      <c r="B90" s="207" t="s">
        <v>356</v>
      </c>
      <c r="C90" s="207" t="s">
        <v>0</v>
      </c>
    </row>
    <row r="91" spans="1:3">
      <c r="A91" s="217">
        <v>18343633</v>
      </c>
      <c r="B91" s="207" t="s">
        <v>358</v>
      </c>
      <c r="C91" s="207" t="s">
        <v>0</v>
      </c>
    </row>
    <row r="92" spans="1:3">
      <c r="A92" s="217">
        <v>18343633</v>
      </c>
      <c r="B92" s="207" t="s">
        <v>360</v>
      </c>
      <c r="C92" s="207" t="s">
        <v>0</v>
      </c>
    </row>
    <row r="93" spans="1:3">
      <c r="A93" s="217">
        <v>18343633</v>
      </c>
      <c r="B93" s="207" t="s">
        <v>362</v>
      </c>
      <c r="C93" s="207" t="s">
        <v>448</v>
      </c>
    </row>
    <row r="94" spans="1:3">
      <c r="A94" s="217">
        <v>18343633</v>
      </c>
      <c r="B94" s="207" t="s">
        <v>364</v>
      </c>
      <c r="C94" s="207" t="s">
        <v>448</v>
      </c>
    </row>
    <row r="95" spans="1:3">
      <c r="A95" s="217">
        <v>18343633</v>
      </c>
      <c r="B95" s="207" t="s">
        <v>366</v>
      </c>
      <c r="C95" s="207" t="s">
        <v>448</v>
      </c>
    </row>
    <row r="96" spans="1:3">
      <c r="A96" s="217">
        <v>18343633</v>
      </c>
      <c r="B96" s="207" t="s">
        <v>368</v>
      </c>
      <c r="C96" s="207" t="s">
        <v>448</v>
      </c>
    </row>
    <row r="97" spans="1:3">
      <c r="A97" s="217">
        <v>18343633</v>
      </c>
      <c r="B97" s="207" t="s">
        <v>370</v>
      </c>
      <c r="C97" s="207" t="s">
        <v>448</v>
      </c>
    </row>
    <row r="98" spans="1:3">
      <c r="A98" s="217">
        <v>18343633</v>
      </c>
      <c r="B98" s="207" t="s">
        <v>371</v>
      </c>
      <c r="C98" s="207" t="s">
        <v>448</v>
      </c>
    </row>
    <row r="99" spans="1:3">
      <c r="A99" s="217">
        <v>18343633</v>
      </c>
      <c r="B99" s="207" t="s">
        <v>373</v>
      </c>
      <c r="C99" s="207" t="s">
        <v>0</v>
      </c>
    </row>
    <row r="100" spans="1:3">
      <c r="A100" s="217">
        <v>18343633</v>
      </c>
      <c r="B100" s="207" t="s">
        <v>375</v>
      </c>
      <c r="C100" s="207" t="s">
        <v>0</v>
      </c>
    </row>
    <row r="101" spans="1:3">
      <c r="A101" s="217">
        <v>18343633</v>
      </c>
      <c r="B101" s="207" t="s">
        <v>377</v>
      </c>
      <c r="C101" s="207" t="s">
        <v>6</v>
      </c>
    </row>
    <row r="102" spans="1:3">
      <c r="A102" s="217">
        <v>18343633</v>
      </c>
      <c r="B102" s="207" t="s">
        <v>462</v>
      </c>
      <c r="C102" s="207" t="s">
        <v>0</v>
      </c>
    </row>
    <row r="103" spans="1:3">
      <c r="A103" s="217">
        <v>18343633</v>
      </c>
      <c r="B103" s="207" t="s">
        <v>464</v>
      </c>
      <c r="C103" s="207" t="s">
        <v>6</v>
      </c>
    </row>
    <row r="104" spans="1:3">
      <c r="A104" s="217">
        <v>18343633</v>
      </c>
      <c r="B104" s="207" t="s">
        <v>466</v>
      </c>
      <c r="C104" s="207" t="s">
        <v>6</v>
      </c>
    </row>
    <row r="105" spans="1:3">
      <c r="A105" s="217">
        <v>18343633</v>
      </c>
      <c r="B105" s="207" t="s">
        <v>468</v>
      </c>
      <c r="C105" s="207" t="s">
        <v>0</v>
      </c>
    </row>
    <row r="106" spans="1:3">
      <c r="A106" s="217">
        <v>18343633</v>
      </c>
      <c r="B106" s="207" t="s">
        <v>389</v>
      </c>
      <c r="C106" s="209">
        <v>0.57999999999999996</v>
      </c>
    </row>
    <row r="107" spans="1:3">
      <c r="A107" s="217">
        <v>18343633</v>
      </c>
      <c r="B107" s="207" t="s">
        <v>390</v>
      </c>
      <c r="C107" s="209">
        <v>1</v>
      </c>
    </row>
    <row r="108" spans="1:3">
      <c r="A108" s="217">
        <v>18343633</v>
      </c>
      <c r="B108" s="207" t="s">
        <v>391</v>
      </c>
      <c r="C108" s="209">
        <v>1</v>
      </c>
    </row>
    <row r="109" spans="1:3">
      <c r="A109" s="217">
        <v>18343633</v>
      </c>
      <c r="B109" s="207" t="s">
        <v>392</v>
      </c>
      <c r="C109" s="209">
        <v>0.87</v>
      </c>
    </row>
    <row r="110" spans="1:3">
      <c r="A110" s="217">
        <v>19365556</v>
      </c>
      <c r="B110" s="207" t="s">
        <v>606</v>
      </c>
      <c r="C110" s="207" t="s">
        <v>3</v>
      </c>
    </row>
    <row r="111" spans="1:3">
      <c r="A111" s="217">
        <v>19365556</v>
      </c>
      <c r="B111" s="207" t="s">
        <v>607</v>
      </c>
      <c r="C111" s="207" t="s">
        <v>295</v>
      </c>
    </row>
    <row r="112" spans="1:3">
      <c r="A112" s="217">
        <v>19365556</v>
      </c>
      <c r="B112" s="207" t="s">
        <v>608</v>
      </c>
      <c r="C112" s="207" t="s">
        <v>298</v>
      </c>
    </row>
    <row r="113" spans="1:3">
      <c r="A113" s="217">
        <v>19365556</v>
      </c>
      <c r="B113" s="207" t="s">
        <v>315</v>
      </c>
      <c r="C113" s="207" t="s">
        <v>0</v>
      </c>
    </row>
    <row r="114" spans="1:3">
      <c r="A114" s="217">
        <v>19365556</v>
      </c>
      <c r="B114" s="207" t="s">
        <v>317</v>
      </c>
      <c r="C114" s="207" t="s">
        <v>0</v>
      </c>
    </row>
    <row r="115" spans="1:3">
      <c r="A115" s="217">
        <v>19365556</v>
      </c>
      <c r="B115" s="207" t="s">
        <v>319</v>
      </c>
      <c r="C115" s="207" t="s">
        <v>0</v>
      </c>
    </row>
    <row r="116" spans="1:3">
      <c r="A116" s="217">
        <v>19365556</v>
      </c>
      <c r="B116" s="207" t="s">
        <v>321</v>
      </c>
      <c r="C116" s="207" t="s">
        <v>0</v>
      </c>
    </row>
    <row r="117" spans="1:3">
      <c r="A117" s="217">
        <v>19365556</v>
      </c>
      <c r="B117" s="207" t="s">
        <v>322</v>
      </c>
      <c r="C117" s="207" t="s">
        <v>0</v>
      </c>
    </row>
    <row r="118" spans="1:3">
      <c r="A118" s="217">
        <v>19365556</v>
      </c>
      <c r="B118" s="207" t="s">
        <v>323</v>
      </c>
      <c r="C118" s="207" t="s">
        <v>0</v>
      </c>
    </row>
    <row r="119" spans="1:3">
      <c r="A119" s="217">
        <v>19365556</v>
      </c>
      <c r="B119" s="207" t="s">
        <v>324</v>
      </c>
      <c r="C119" s="207" t="s">
        <v>6</v>
      </c>
    </row>
    <row r="120" spans="1:3">
      <c r="A120" s="217">
        <v>19365556</v>
      </c>
      <c r="B120" s="207" t="s">
        <v>325</v>
      </c>
      <c r="C120" s="207" t="s">
        <v>0</v>
      </c>
    </row>
    <row r="121" spans="1:3">
      <c r="A121" s="217">
        <v>19365556</v>
      </c>
      <c r="B121" s="207" t="s">
        <v>326</v>
      </c>
      <c r="C121" s="207" t="s">
        <v>448</v>
      </c>
    </row>
    <row r="122" spans="1:3">
      <c r="A122" s="217">
        <v>19365556</v>
      </c>
      <c r="B122" s="207" t="s">
        <v>327</v>
      </c>
      <c r="C122" s="207" t="s">
        <v>448</v>
      </c>
    </row>
    <row r="123" spans="1:3">
      <c r="A123" s="217">
        <v>19365556</v>
      </c>
      <c r="B123" s="207" t="s">
        <v>328</v>
      </c>
      <c r="C123" s="207" t="s">
        <v>448</v>
      </c>
    </row>
    <row r="124" spans="1:3">
      <c r="A124" s="217">
        <v>19365556</v>
      </c>
      <c r="B124" s="207" t="s">
        <v>329</v>
      </c>
      <c r="C124" s="207" t="s">
        <v>448</v>
      </c>
    </row>
    <row r="125" spans="1:3">
      <c r="A125" s="217">
        <v>19365556</v>
      </c>
      <c r="B125" s="207" t="s">
        <v>330</v>
      </c>
      <c r="C125" s="207" t="s">
        <v>448</v>
      </c>
    </row>
    <row r="126" spans="1:3">
      <c r="A126" s="217">
        <v>19365556</v>
      </c>
      <c r="B126" s="207" t="s">
        <v>331</v>
      </c>
      <c r="C126" s="207" t="s">
        <v>448</v>
      </c>
    </row>
    <row r="127" spans="1:3">
      <c r="A127" s="217">
        <v>19365556</v>
      </c>
      <c r="B127" s="207" t="s">
        <v>333</v>
      </c>
      <c r="C127" s="207" t="s">
        <v>6</v>
      </c>
    </row>
    <row r="128" spans="1:3">
      <c r="A128" s="217">
        <v>19365556</v>
      </c>
      <c r="B128" s="207" t="s">
        <v>335</v>
      </c>
      <c r="C128" s="207" t="s">
        <v>0</v>
      </c>
    </row>
    <row r="129" spans="1:3">
      <c r="A129" s="217">
        <v>19365556</v>
      </c>
      <c r="B129" s="207" t="s">
        <v>337</v>
      </c>
      <c r="C129" s="207" t="s">
        <v>0</v>
      </c>
    </row>
    <row r="130" spans="1:3">
      <c r="A130" s="217">
        <v>19365556</v>
      </c>
      <c r="B130" s="207" t="s">
        <v>339</v>
      </c>
      <c r="C130" s="207" t="s">
        <v>0</v>
      </c>
    </row>
    <row r="131" spans="1:3">
      <c r="A131" s="217">
        <v>19365556</v>
      </c>
      <c r="B131" s="207" t="s">
        <v>341</v>
      </c>
      <c r="C131" s="207" t="s">
        <v>6</v>
      </c>
    </row>
    <row r="132" spans="1:3">
      <c r="A132" s="217">
        <v>19365556</v>
      </c>
      <c r="B132" s="207" t="s">
        <v>619</v>
      </c>
      <c r="C132" s="207" t="s">
        <v>6</v>
      </c>
    </row>
    <row r="133" spans="1:3">
      <c r="A133" s="217">
        <v>19365556</v>
      </c>
      <c r="B133" s="207" t="s">
        <v>620</v>
      </c>
      <c r="C133" s="207" t="s">
        <v>6</v>
      </c>
    </row>
    <row r="134" spans="1:3">
      <c r="A134" s="217">
        <v>19365556</v>
      </c>
      <c r="B134" s="207" t="s">
        <v>621</v>
      </c>
      <c r="C134" s="207" t="s">
        <v>6</v>
      </c>
    </row>
    <row r="135" spans="1:3">
      <c r="A135" s="217">
        <v>19365556</v>
      </c>
      <c r="B135" s="207" t="s">
        <v>622</v>
      </c>
      <c r="C135" s="207" t="s">
        <v>6</v>
      </c>
    </row>
    <row r="136" spans="1:3">
      <c r="A136" s="217">
        <v>19365556</v>
      </c>
      <c r="B136" s="207" t="s">
        <v>623</v>
      </c>
      <c r="C136" s="207" t="s">
        <v>6</v>
      </c>
    </row>
    <row r="137" spans="1:3">
      <c r="A137" s="217">
        <v>19365556</v>
      </c>
      <c r="B137" s="207" t="s">
        <v>624</v>
      </c>
      <c r="C137" s="207" t="s">
        <v>6</v>
      </c>
    </row>
    <row r="138" spans="1:3">
      <c r="A138" s="217">
        <v>19365556</v>
      </c>
      <c r="B138" s="207" t="s">
        <v>344</v>
      </c>
      <c r="C138" s="207" t="s">
        <v>6</v>
      </c>
    </row>
    <row r="139" spans="1:3">
      <c r="A139" s="217">
        <v>19365556</v>
      </c>
      <c r="B139" s="207" t="s">
        <v>346</v>
      </c>
      <c r="C139" s="207" t="s">
        <v>448</v>
      </c>
    </row>
    <row r="140" spans="1:3">
      <c r="A140" s="217">
        <v>19365556</v>
      </c>
      <c r="B140" s="207" t="s">
        <v>348</v>
      </c>
      <c r="C140" s="207" t="s">
        <v>448</v>
      </c>
    </row>
    <row r="141" spans="1:3">
      <c r="A141" s="217">
        <v>19365556</v>
      </c>
      <c r="B141" s="207" t="s">
        <v>350</v>
      </c>
      <c r="C141" s="207" t="s">
        <v>448</v>
      </c>
    </row>
    <row r="142" spans="1:3">
      <c r="A142" s="217">
        <v>19365556</v>
      </c>
      <c r="B142" s="207" t="s">
        <v>352</v>
      </c>
      <c r="C142" s="207" t="s">
        <v>448</v>
      </c>
    </row>
    <row r="143" spans="1:3">
      <c r="A143" s="217">
        <v>19365556</v>
      </c>
      <c r="B143" s="207" t="s">
        <v>354</v>
      </c>
      <c r="C143" s="207" t="s">
        <v>448</v>
      </c>
    </row>
    <row r="144" spans="1:3">
      <c r="A144" s="217">
        <v>19365556</v>
      </c>
      <c r="B144" s="207" t="s">
        <v>356</v>
      </c>
      <c r="C144" s="207" t="s">
        <v>448</v>
      </c>
    </row>
    <row r="145" spans="1:3">
      <c r="A145" s="217">
        <v>19365556</v>
      </c>
      <c r="B145" s="207" t="s">
        <v>358</v>
      </c>
      <c r="C145" s="207" t="s">
        <v>448</v>
      </c>
    </row>
    <row r="146" spans="1:3">
      <c r="A146" s="217">
        <v>19365556</v>
      </c>
      <c r="B146" s="207" t="s">
        <v>360</v>
      </c>
      <c r="C146" s="207" t="s">
        <v>448</v>
      </c>
    </row>
    <row r="147" spans="1:3">
      <c r="A147" s="217">
        <v>19365556</v>
      </c>
      <c r="B147" s="207" t="s">
        <v>362</v>
      </c>
      <c r="C147" s="207" t="s">
        <v>448</v>
      </c>
    </row>
    <row r="148" spans="1:3">
      <c r="A148" s="217">
        <v>19365556</v>
      </c>
      <c r="B148" s="207" t="s">
        <v>364</v>
      </c>
      <c r="C148" s="207" t="s">
        <v>0</v>
      </c>
    </row>
    <row r="149" spans="1:3">
      <c r="A149" s="217">
        <v>19365556</v>
      </c>
      <c r="B149" s="207" t="s">
        <v>366</v>
      </c>
      <c r="C149" s="207" t="s">
        <v>0</v>
      </c>
    </row>
    <row r="150" spans="1:3">
      <c r="A150" s="217">
        <v>19365556</v>
      </c>
      <c r="B150" s="207" t="s">
        <v>368</v>
      </c>
      <c r="C150" s="207" t="s">
        <v>0</v>
      </c>
    </row>
    <row r="151" spans="1:3">
      <c r="A151" s="217">
        <v>19365556</v>
      </c>
      <c r="B151" s="207" t="s">
        <v>370</v>
      </c>
      <c r="C151" s="207" t="s">
        <v>0</v>
      </c>
    </row>
    <row r="152" spans="1:3">
      <c r="A152" s="217">
        <v>19365556</v>
      </c>
      <c r="B152" s="207" t="s">
        <v>371</v>
      </c>
      <c r="C152" s="207" t="s">
        <v>0</v>
      </c>
    </row>
    <row r="153" spans="1:3">
      <c r="A153" s="217">
        <v>19365556</v>
      </c>
      <c r="B153" s="207" t="s">
        <v>373</v>
      </c>
      <c r="C153" s="207" t="s">
        <v>448</v>
      </c>
    </row>
    <row r="154" spans="1:3">
      <c r="A154" s="217">
        <v>19365556</v>
      </c>
      <c r="B154" s="207" t="s">
        <v>375</v>
      </c>
      <c r="C154" s="207" t="s">
        <v>448</v>
      </c>
    </row>
    <row r="155" spans="1:3">
      <c r="A155" s="217">
        <v>19365556</v>
      </c>
      <c r="B155" s="207" t="s">
        <v>377</v>
      </c>
      <c r="C155" s="207" t="s">
        <v>448</v>
      </c>
    </row>
    <row r="156" spans="1:3">
      <c r="A156" s="217">
        <v>19365556</v>
      </c>
      <c r="B156" s="207" t="s">
        <v>462</v>
      </c>
      <c r="C156" s="207" t="s">
        <v>448</v>
      </c>
    </row>
    <row r="157" spans="1:3">
      <c r="A157" s="217">
        <v>19365556</v>
      </c>
      <c r="B157" s="207" t="s">
        <v>464</v>
      </c>
      <c r="C157" s="207" t="s">
        <v>6</v>
      </c>
    </row>
    <row r="158" spans="1:3">
      <c r="A158" s="217">
        <v>19365556</v>
      </c>
      <c r="B158" s="207" t="s">
        <v>466</v>
      </c>
      <c r="C158" s="207" t="s">
        <v>0</v>
      </c>
    </row>
    <row r="159" spans="1:3">
      <c r="A159" s="217">
        <v>19365556</v>
      </c>
      <c r="B159" s="207" t="s">
        <v>468</v>
      </c>
      <c r="C159" s="207" t="s">
        <v>0</v>
      </c>
    </row>
    <row r="160" spans="1:3">
      <c r="A160" s="217">
        <v>19365556</v>
      </c>
      <c r="B160" s="207" t="s">
        <v>389</v>
      </c>
      <c r="C160" s="209">
        <v>0.92</v>
      </c>
    </row>
    <row r="161" spans="1:3">
      <c r="A161" s="217">
        <v>19365556</v>
      </c>
      <c r="B161" s="207" t="s">
        <v>390</v>
      </c>
      <c r="C161" s="209">
        <v>0.93</v>
      </c>
    </row>
    <row r="162" spans="1:3">
      <c r="A162" s="217">
        <v>19365556</v>
      </c>
      <c r="B162" s="207" t="s">
        <v>391</v>
      </c>
      <c r="C162" s="209">
        <v>1</v>
      </c>
    </row>
    <row r="163" spans="1:3">
      <c r="A163" s="217">
        <v>19365556</v>
      </c>
      <c r="B163" s="207" t="s">
        <v>392</v>
      </c>
      <c r="C163" s="209">
        <v>0.95</v>
      </c>
    </row>
    <row r="164" spans="1:3">
      <c r="A164" s="217">
        <v>19729072</v>
      </c>
      <c r="B164" s="207" t="s">
        <v>606</v>
      </c>
      <c r="C164" s="207" t="s">
        <v>36</v>
      </c>
    </row>
    <row r="165" spans="1:3">
      <c r="A165" s="217">
        <v>19729072</v>
      </c>
      <c r="B165" s="207" t="s">
        <v>607</v>
      </c>
      <c r="C165" s="207" t="s">
        <v>294</v>
      </c>
    </row>
    <row r="166" spans="1:3">
      <c r="A166" s="217">
        <v>19729072</v>
      </c>
      <c r="B166" s="207" t="s">
        <v>608</v>
      </c>
      <c r="C166" s="207" t="s">
        <v>297</v>
      </c>
    </row>
    <row r="167" spans="1:3">
      <c r="A167" s="217">
        <v>19729072</v>
      </c>
      <c r="B167" s="207" t="s">
        <v>315</v>
      </c>
      <c r="C167" s="207" t="s">
        <v>0</v>
      </c>
    </row>
    <row r="168" spans="1:3">
      <c r="A168" s="217">
        <v>19729072</v>
      </c>
      <c r="B168" s="207" t="s">
        <v>317</v>
      </c>
      <c r="C168" s="207" t="s">
        <v>0</v>
      </c>
    </row>
    <row r="169" spans="1:3">
      <c r="A169" s="217">
        <v>19729072</v>
      </c>
      <c r="B169" s="207" t="s">
        <v>319</v>
      </c>
      <c r="C169" s="207" t="s">
        <v>0</v>
      </c>
    </row>
    <row r="170" spans="1:3">
      <c r="A170" s="217">
        <v>19729072</v>
      </c>
      <c r="B170" s="207" t="s">
        <v>321</v>
      </c>
      <c r="C170" s="207" t="s">
        <v>448</v>
      </c>
    </row>
    <row r="171" spans="1:3">
      <c r="A171" s="217">
        <v>19729072</v>
      </c>
      <c r="B171" s="207" t="s">
        <v>322</v>
      </c>
      <c r="C171" s="207" t="s">
        <v>448</v>
      </c>
    </row>
    <row r="172" spans="1:3">
      <c r="A172" s="217">
        <v>19729072</v>
      </c>
      <c r="B172" s="207" t="s">
        <v>323</v>
      </c>
      <c r="C172" s="207" t="s">
        <v>448</v>
      </c>
    </row>
    <row r="173" spans="1:3">
      <c r="A173" s="217">
        <v>19729072</v>
      </c>
      <c r="B173" s="207" t="s">
        <v>324</v>
      </c>
      <c r="C173" s="207" t="s">
        <v>448</v>
      </c>
    </row>
    <row r="174" spans="1:3">
      <c r="A174" s="217">
        <v>19729072</v>
      </c>
      <c r="B174" s="207" t="s">
        <v>325</v>
      </c>
      <c r="C174" s="207" t="s">
        <v>448</v>
      </c>
    </row>
    <row r="175" spans="1:3">
      <c r="A175" s="217">
        <v>19729072</v>
      </c>
      <c r="B175" s="207" t="s">
        <v>326</v>
      </c>
      <c r="C175" s="207" t="s">
        <v>0</v>
      </c>
    </row>
    <row r="176" spans="1:3">
      <c r="A176" s="217">
        <v>19729072</v>
      </c>
      <c r="B176" s="207" t="s">
        <v>327</v>
      </c>
      <c r="C176" s="207" t="s">
        <v>0</v>
      </c>
    </row>
    <row r="177" spans="1:3">
      <c r="A177" s="217">
        <v>19729072</v>
      </c>
      <c r="B177" s="207" t="s">
        <v>328</v>
      </c>
      <c r="C177" s="207" t="s">
        <v>0</v>
      </c>
    </row>
    <row r="178" spans="1:3">
      <c r="A178" s="217">
        <v>19729072</v>
      </c>
      <c r="B178" s="207" t="s">
        <v>329</v>
      </c>
      <c r="C178" s="207" t="s">
        <v>0</v>
      </c>
    </row>
    <row r="179" spans="1:3">
      <c r="A179" s="217">
        <v>19729072</v>
      </c>
      <c r="B179" s="207" t="s">
        <v>330</v>
      </c>
      <c r="C179" s="207" t="s">
        <v>0</v>
      </c>
    </row>
    <row r="180" spans="1:3">
      <c r="A180" s="217">
        <v>19729072</v>
      </c>
      <c r="B180" s="207" t="s">
        <v>331</v>
      </c>
      <c r="C180" s="207" t="s">
        <v>0</v>
      </c>
    </row>
    <row r="181" spans="1:3">
      <c r="A181" s="217">
        <v>19729072</v>
      </c>
      <c r="B181" s="207" t="s">
        <v>333</v>
      </c>
      <c r="C181" s="207" t="s">
        <v>0</v>
      </c>
    </row>
    <row r="182" spans="1:3">
      <c r="A182" s="217">
        <v>19729072</v>
      </c>
      <c r="B182" s="207" t="s">
        <v>335</v>
      </c>
      <c r="C182" s="207" t="s">
        <v>0</v>
      </c>
    </row>
    <row r="183" spans="1:3">
      <c r="A183" s="217">
        <v>19729072</v>
      </c>
      <c r="B183" s="207" t="s">
        <v>337</v>
      </c>
      <c r="C183" s="207" t="s">
        <v>0</v>
      </c>
    </row>
    <row r="184" spans="1:3">
      <c r="A184" s="217">
        <v>19729072</v>
      </c>
      <c r="B184" s="207" t="s">
        <v>339</v>
      </c>
      <c r="C184" s="207" t="s">
        <v>0</v>
      </c>
    </row>
    <row r="185" spans="1:3">
      <c r="A185" s="217">
        <v>19729072</v>
      </c>
      <c r="B185" s="207" t="s">
        <v>341</v>
      </c>
      <c r="C185" s="207" t="s">
        <v>0</v>
      </c>
    </row>
    <row r="186" spans="1:3">
      <c r="A186" s="217">
        <v>19729072</v>
      </c>
      <c r="B186" s="207" t="s">
        <v>619</v>
      </c>
      <c r="C186" s="207" t="s">
        <v>6</v>
      </c>
    </row>
    <row r="187" spans="1:3">
      <c r="A187" s="217">
        <v>19729072</v>
      </c>
      <c r="B187" s="207" t="s">
        <v>620</v>
      </c>
      <c r="C187" s="207" t="s">
        <v>6</v>
      </c>
    </row>
    <row r="188" spans="1:3">
      <c r="A188" s="217">
        <v>19729072</v>
      </c>
      <c r="B188" s="207" t="s">
        <v>621</v>
      </c>
      <c r="C188" s="207" t="s">
        <v>6</v>
      </c>
    </row>
    <row r="189" spans="1:3">
      <c r="A189" s="217">
        <v>19729072</v>
      </c>
      <c r="B189" s="207" t="s">
        <v>622</v>
      </c>
      <c r="C189" s="207" t="s">
        <v>6</v>
      </c>
    </row>
    <row r="190" spans="1:3">
      <c r="A190" s="217">
        <v>19729072</v>
      </c>
      <c r="B190" s="207" t="s">
        <v>623</v>
      </c>
      <c r="C190" s="207" t="s">
        <v>6</v>
      </c>
    </row>
    <row r="191" spans="1:3">
      <c r="A191" s="217">
        <v>19729072</v>
      </c>
      <c r="B191" s="207" t="s">
        <v>624</v>
      </c>
      <c r="C191" s="207" t="s">
        <v>6</v>
      </c>
    </row>
    <row r="192" spans="1:3">
      <c r="A192" s="217">
        <v>19729072</v>
      </c>
      <c r="B192" s="207" t="s">
        <v>344</v>
      </c>
      <c r="C192" s="207" t="s">
        <v>0</v>
      </c>
    </row>
    <row r="193" spans="1:3">
      <c r="A193" s="217">
        <v>19729072</v>
      </c>
      <c r="B193" s="207" t="s">
        <v>346</v>
      </c>
      <c r="C193" s="207" t="s">
        <v>0</v>
      </c>
    </row>
    <row r="194" spans="1:3">
      <c r="A194" s="217">
        <v>19729072</v>
      </c>
      <c r="B194" s="207" t="s">
        <v>348</v>
      </c>
      <c r="C194" s="207" t="s">
        <v>0</v>
      </c>
    </row>
    <row r="195" spans="1:3">
      <c r="A195" s="217">
        <v>19729072</v>
      </c>
      <c r="B195" s="207" t="s">
        <v>350</v>
      </c>
      <c r="C195" s="207" t="s">
        <v>0</v>
      </c>
    </row>
    <row r="196" spans="1:3">
      <c r="A196" s="217">
        <v>19729072</v>
      </c>
      <c r="B196" s="207" t="s">
        <v>352</v>
      </c>
      <c r="C196" s="207" t="s">
        <v>0</v>
      </c>
    </row>
    <row r="197" spans="1:3">
      <c r="A197" s="217">
        <v>19729072</v>
      </c>
      <c r="B197" s="207" t="s">
        <v>354</v>
      </c>
      <c r="C197" s="207" t="s">
        <v>0</v>
      </c>
    </row>
    <row r="198" spans="1:3">
      <c r="A198" s="217">
        <v>19729072</v>
      </c>
      <c r="B198" s="207" t="s">
        <v>356</v>
      </c>
      <c r="C198" s="207" t="s">
        <v>0</v>
      </c>
    </row>
    <row r="199" spans="1:3">
      <c r="A199" s="217">
        <v>19729072</v>
      </c>
      <c r="B199" s="207" t="s">
        <v>358</v>
      </c>
      <c r="C199" s="207" t="s">
        <v>0</v>
      </c>
    </row>
    <row r="200" spans="1:3">
      <c r="A200" s="217">
        <v>19729072</v>
      </c>
      <c r="B200" s="207" t="s">
        <v>360</v>
      </c>
      <c r="C200" s="207" t="s">
        <v>0</v>
      </c>
    </row>
    <row r="201" spans="1:3">
      <c r="A201" s="217">
        <v>19729072</v>
      </c>
      <c r="B201" s="207" t="s">
        <v>362</v>
      </c>
      <c r="C201" s="207" t="s">
        <v>0</v>
      </c>
    </row>
    <row r="202" spans="1:3">
      <c r="A202" s="217">
        <v>19729072</v>
      </c>
      <c r="B202" s="207" t="s">
        <v>364</v>
      </c>
      <c r="C202" s="207" t="s">
        <v>448</v>
      </c>
    </row>
    <row r="203" spans="1:3">
      <c r="A203" s="217">
        <v>19729072</v>
      </c>
      <c r="B203" s="207" t="s">
        <v>366</v>
      </c>
      <c r="C203" s="207" t="s">
        <v>448</v>
      </c>
    </row>
    <row r="204" spans="1:3">
      <c r="A204" s="217">
        <v>19729072</v>
      </c>
      <c r="B204" s="207" t="s">
        <v>368</v>
      </c>
      <c r="C204" s="207" t="s">
        <v>448</v>
      </c>
    </row>
    <row r="205" spans="1:3">
      <c r="A205" s="217">
        <v>19729072</v>
      </c>
      <c r="B205" s="207" t="s">
        <v>370</v>
      </c>
      <c r="C205" s="207" t="s">
        <v>448</v>
      </c>
    </row>
    <row r="206" spans="1:3">
      <c r="A206" s="217">
        <v>19729072</v>
      </c>
      <c r="B206" s="207" t="s">
        <v>371</v>
      </c>
      <c r="C206" s="207" t="s">
        <v>448</v>
      </c>
    </row>
    <row r="207" spans="1:3">
      <c r="A207" s="217">
        <v>19729072</v>
      </c>
      <c r="B207" s="207" t="s">
        <v>373</v>
      </c>
      <c r="C207" s="207" t="s">
        <v>0</v>
      </c>
    </row>
    <row r="208" spans="1:3">
      <c r="A208" s="217">
        <v>19729072</v>
      </c>
      <c r="B208" s="207" t="s">
        <v>375</v>
      </c>
      <c r="C208" s="207" t="s">
        <v>0</v>
      </c>
    </row>
    <row r="209" spans="1:3">
      <c r="A209" s="217">
        <v>19729072</v>
      </c>
      <c r="B209" s="207" t="s">
        <v>377</v>
      </c>
      <c r="C209" s="207" t="s">
        <v>6</v>
      </c>
    </row>
    <row r="210" spans="1:3">
      <c r="A210" s="217">
        <v>19729072</v>
      </c>
      <c r="B210" s="207" t="s">
        <v>462</v>
      </c>
      <c r="C210" s="207" t="s">
        <v>0</v>
      </c>
    </row>
    <row r="211" spans="1:3">
      <c r="A211" s="217">
        <v>19729072</v>
      </c>
      <c r="B211" s="207" t="s">
        <v>464</v>
      </c>
      <c r="C211" s="207" t="s">
        <v>6</v>
      </c>
    </row>
    <row r="212" spans="1:3">
      <c r="A212" s="217">
        <v>19729072</v>
      </c>
      <c r="B212" s="207" t="s">
        <v>466</v>
      </c>
      <c r="C212" s="207" t="s">
        <v>6</v>
      </c>
    </row>
    <row r="213" spans="1:3">
      <c r="A213" s="217">
        <v>19729072</v>
      </c>
      <c r="B213" s="207" t="s">
        <v>468</v>
      </c>
      <c r="C213" s="207" t="s">
        <v>0</v>
      </c>
    </row>
    <row r="214" spans="1:3">
      <c r="A214" s="217">
        <v>19729072</v>
      </c>
      <c r="B214" s="207" t="s">
        <v>389</v>
      </c>
      <c r="C214" s="209">
        <v>1</v>
      </c>
    </row>
    <row r="215" spans="1:3">
      <c r="A215" s="217">
        <v>19729072</v>
      </c>
      <c r="B215" s="207" t="s">
        <v>390</v>
      </c>
      <c r="C215" s="209">
        <v>1</v>
      </c>
    </row>
    <row r="216" spans="1:3">
      <c r="A216" s="217">
        <v>19729072</v>
      </c>
      <c r="B216" s="207" t="s">
        <v>391</v>
      </c>
      <c r="C216" s="209">
        <v>1</v>
      </c>
    </row>
    <row r="217" spans="1:3">
      <c r="A217" s="217">
        <v>19729072</v>
      </c>
      <c r="B217" s="207" t="s">
        <v>392</v>
      </c>
      <c r="C217" s="209">
        <v>1</v>
      </c>
    </row>
    <row r="218" spans="1:3">
      <c r="A218" s="217">
        <v>20519589</v>
      </c>
      <c r="B218" s="207" t="s">
        <v>606</v>
      </c>
      <c r="C218" s="207" t="s">
        <v>23</v>
      </c>
    </row>
    <row r="219" spans="1:3">
      <c r="A219" s="217">
        <v>20519589</v>
      </c>
      <c r="B219" s="207" t="s">
        <v>607</v>
      </c>
      <c r="C219" s="207" t="s">
        <v>293</v>
      </c>
    </row>
    <row r="220" spans="1:3">
      <c r="A220" s="217">
        <v>20519589</v>
      </c>
      <c r="B220" s="207" t="s">
        <v>608</v>
      </c>
      <c r="C220" s="207" t="s">
        <v>298</v>
      </c>
    </row>
    <row r="221" spans="1:3">
      <c r="A221" s="217">
        <v>20519589</v>
      </c>
      <c r="B221" s="207" t="s">
        <v>315</v>
      </c>
      <c r="C221" s="207" t="s">
        <v>0</v>
      </c>
    </row>
    <row r="222" spans="1:3">
      <c r="A222" s="217">
        <v>20519589</v>
      </c>
      <c r="B222" s="207" t="s">
        <v>317</v>
      </c>
      <c r="C222" s="207" t="s">
        <v>0</v>
      </c>
    </row>
    <row r="223" spans="1:3">
      <c r="A223" s="217">
        <v>20519589</v>
      </c>
      <c r="B223" s="207" t="s">
        <v>319</v>
      </c>
      <c r="C223" s="207" t="s">
        <v>6</v>
      </c>
    </row>
    <row r="224" spans="1:3">
      <c r="A224" s="217">
        <v>20519589</v>
      </c>
      <c r="B224" s="207" t="s">
        <v>321</v>
      </c>
      <c r="C224" s="207" t="s">
        <v>6</v>
      </c>
    </row>
    <row r="225" spans="1:3">
      <c r="A225" s="217">
        <v>20519589</v>
      </c>
      <c r="B225" s="207" t="s">
        <v>322</v>
      </c>
      <c r="C225" s="207" t="s">
        <v>6</v>
      </c>
    </row>
    <row r="226" spans="1:3">
      <c r="A226" s="217">
        <v>20519589</v>
      </c>
      <c r="B226" s="207" t="s">
        <v>323</v>
      </c>
      <c r="C226" s="207" t="s">
        <v>6</v>
      </c>
    </row>
    <row r="227" spans="1:3">
      <c r="A227" s="217">
        <v>20519589</v>
      </c>
      <c r="B227" s="207" t="s">
        <v>324</v>
      </c>
      <c r="C227" s="207" t="s">
        <v>6</v>
      </c>
    </row>
    <row r="228" spans="1:3">
      <c r="A228" s="217">
        <v>20519589</v>
      </c>
      <c r="B228" s="207" t="s">
        <v>325</v>
      </c>
      <c r="C228" s="207" t="s">
        <v>6</v>
      </c>
    </row>
    <row r="229" spans="1:3">
      <c r="A229" s="217">
        <v>20519589</v>
      </c>
      <c r="B229" s="207" t="s">
        <v>326</v>
      </c>
      <c r="C229" s="207" t="s">
        <v>6</v>
      </c>
    </row>
    <row r="230" spans="1:3">
      <c r="A230" s="217">
        <v>20519589</v>
      </c>
      <c r="B230" s="207" t="s">
        <v>327</v>
      </c>
      <c r="C230" s="207" t="s">
        <v>6</v>
      </c>
    </row>
    <row r="231" spans="1:3">
      <c r="A231" s="217">
        <v>20519589</v>
      </c>
      <c r="B231" s="207" t="s">
        <v>328</v>
      </c>
      <c r="C231" s="207" t="s">
        <v>6</v>
      </c>
    </row>
    <row r="232" spans="1:3">
      <c r="A232" s="217">
        <v>20519589</v>
      </c>
      <c r="B232" s="207" t="s">
        <v>329</v>
      </c>
      <c r="C232" s="207" t="s">
        <v>6</v>
      </c>
    </row>
    <row r="233" spans="1:3">
      <c r="A233" s="217">
        <v>20519589</v>
      </c>
      <c r="B233" s="207" t="s">
        <v>330</v>
      </c>
      <c r="C233" s="207" t="s">
        <v>6</v>
      </c>
    </row>
    <row r="234" spans="1:3">
      <c r="A234" s="217">
        <v>20519589</v>
      </c>
      <c r="B234" s="207" t="s">
        <v>331</v>
      </c>
      <c r="C234" s="207" t="s">
        <v>6</v>
      </c>
    </row>
    <row r="235" spans="1:3">
      <c r="A235" s="217">
        <v>20519589</v>
      </c>
      <c r="B235" s="207" t="s">
        <v>333</v>
      </c>
      <c r="C235" s="207" t="s">
        <v>6</v>
      </c>
    </row>
    <row r="236" spans="1:3">
      <c r="A236" s="217">
        <v>20519589</v>
      </c>
      <c r="B236" s="207" t="s">
        <v>335</v>
      </c>
      <c r="C236" s="207" t="s">
        <v>0</v>
      </c>
    </row>
    <row r="237" spans="1:3">
      <c r="A237" s="217">
        <v>20519589</v>
      </c>
      <c r="B237" s="207" t="s">
        <v>337</v>
      </c>
      <c r="C237" s="207" t="s">
        <v>0</v>
      </c>
    </row>
    <row r="238" spans="1:3">
      <c r="A238" s="217">
        <v>20519589</v>
      </c>
      <c r="B238" s="207" t="s">
        <v>339</v>
      </c>
      <c r="C238" s="207" t="s">
        <v>0</v>
      </c>
    </row>
    <row r="239" spans="1:3">
      <c r="A239" s="217">
        <v>20519589</v>
      </c>
      <c r="B239" s="207" t="s">
        <v>341</v>
      </c>
      <c r="C239" s="207" t="s">
        <v>6</v>
      </c>
    </row>
    <row r="240" spans="1:3">
      <c r="A240" s="217">
        <v>20519589</v>
      </c>
      <c r="B240" s="207" t="s">
        <v>619</v>
      </c>
      <c r="C240" s="207" t="s">
        <v>6</v>
      </c>
    </row>
    <row r="241" spans="1:3">
      <c r="A241" s="217">
        <v>20519589</v>
      </c>
      <c r="B241" s="207" t="s">
        <v>620</v>
      </c>
      <c r="C241" s="207" t="s">
        <v>6</v>
      </c>
    </row>
    <row r="242" spans="1:3">
      <c r="A242" s="217">
        <v>20519589</v>
      </c>
      <c r="B242" s="207" t="s">
        <v>621</v>
      </c>
      <c r="C242" s="207" t="s">
        <v>6</v>
      </c>
    </row>
    <row r="243" spans="1:3">
      <c r="A243" s="217">
        <v>20519589</v>
      </c>
      <c r="B243" s="207" t="s">
        <v>622</v>
      </c>
      <c r="C243" s="207" t="s">
        <v>6</v>
      </c>
    </row>
    <row r="244" spans="1:3">
      <c r="A244" s="217">
        <v>20519589</v>
      </c>
      <c r="B244" s="207" t="s">
        <v>623</v>
      </c>
      <c r="C244" s="207" t="s">
        <v>6</v>
      </c>
    </row>
    <row r="245" spans="1:3">
      <c r="A245" s="217">
        <v>20519589</v>
      </c>
      <c r="B245" s="207" t="s">
        <v>624</v>
      </c>
      <c r="C245" s="207" t="s">
        <v>6</v>
      </c>
    </row>
    <row r="246" spans="1:3">
      <c r="A246" s="217">
        <v>20519589</v>
      </c>
      <c r="B246" s="207" t="s">
        <v>344</v>
      </c>
      <c r="C246" s="207" t="s">
        <v>0</v>
      </c>
    </row>
    <row r="247" spans="1:3">
      <c r="A247" s="217">
        <v>20519589</v>
      </c>
      <c r="B247" s="207" t="s">
        <v>346</v>
      </c>
      <c r="C247" s="207" t="s">
        <v>448</v>
      </c>
    </row>
    <row r="248" spans="1:3">
      <c r="A248" s="217">
        <v>20519589</v>
      </c>
      <c r="B248" s="207" t="s">
        <v>348</v>
      </c>
      <c r="C248" s="207" t="s">
        <v>448</v>
      </c>
    </row>
    <row r="249" spans="1:3">
      <c r="A249" s="217">
        <v>20519589</v>
      </c>
      <c r="B249" s="207" t="s">
        <v>350</v>
      </c>
      <c r="C249" s="207" t="s">
        <v>448</v>
      </c>
    </row>
    <row r="250" spans="1:3">
      <c r="A250" s="217">
        <v>20519589</v>
      </c>
      <c r="B250" s="207" t="s">
        <v>352</v>
      </c>
      <c r="C250" s="207" t="s">
        <v>448</v>
      </c>
    </row>
    <row r="251" spans="1:3">
      <c r="A251" s="217">
        <v>20519589</v>
      </c>
      <c r="B251" s="207" t="s">
        <v>354</v>
      </c>
      <c r="C251" s="207" t="s">
        <v>448</v>
      </c>
    </row>
    <row r="252" spans="1:3">
      <c r="A252" s="217">
        <v>20519589</v>
      </c>
      <c r="B252" s="207" t="s">
        <v>356</v>
      </c>
      <c r="C252" s="207" t="s">
        <v>448</v>
      </c>
    </row>
    <row r="253" spans="1:3">
      <c r="A253" s="217">
        <v>20519589</v>
      </c>
      <c r="B253" s="207" t="s">
        <v>358</v>
      </c>
      <c r="C253" s="207" t="s">
        <v>448</v>
      </c>
    </row>
    <row r="254" spans="1:3">
      <c r="A254" s="217">
        <v>20519589</v>
      </c>
      <c r="B254" s="207" t="s">
        <v>360</v>
      </c>
      <c r="C254" s="207" t="s">
        <v>448</v>
      </c>
    </row>
    <row r="255" spans="1:3">
      <c r="A255" s="217">
        <v>20519589</v>
      </c>
      <c r="B255" s="207" t="s">
        <v>362</v>
      </c>
      <c r="C255" s="207" t="s">
        <v>448</v>
      </c>
    </row>
    <row r="256" spans="1:3">
      <c r="A256" s="217">
        <v>20519589</v>
      </c>
      <c r="B256" s="207" t="s">
        <v>364</v>
      </c>
      <c r="C256" s="207" t="s">
        <v>0</v>
      </c>
    </row>
    <row r="257" spans="1:3">
      <c r="A257" s="217">
        <v>20519589</v>
      </c>
      <c r="B257" s="207" t="s">
        <v>366</v>
      </c>
      <c r="C257" s="207" t="s">
        <v>0</v>
      </c>
    </row>
    <row r="258" spans="1:3">
      <c r="A258" s="217">
        <v>20519589</v>
      </c>
      <c r="B258" s="207" t="s">
        <v>368</v>
      </c>
      <c r="C258" s="207" t="s">
        <v>6</v>
      </c>
    </row>
    <row r="259" spans="1:3">
      <c r="A259" s="217">
        <v>20519589</v>
      </c>
      <c r="B259" s="207" t="s">
        <v>370</v>
      </c>
      <c r="C259" s="207" t="s">
        <v>6</v>
      </c>
    </row>
    <row r="260" spans="1:3">
      <c r="A260" s="217">
        <v>20519589</v>
      </c>
      <c r="B260" s="207" t="s">
        <v>371</v>
      </c>
      <c r="C260" s="207" t="s">
        <v>6</v>
      </c>
    </row>
    <row r="261" spans="1:3">
      <c r="A261" s="217">
        <v>20519589</v>
      </c>
      <c r="B261" s="207" t="s">
        <v>373</v>
      </c>
      <c r="C261" s="207" t="s">
        <v>448</v>
      </c>
    </row>
    <row r="262" spans="1:3">
      <c r="A262" s="217">
        <v>20519589</v>
      </c>
      <c r="B262" s="207" t="s">
        <v>375</v>
      </c>
      <c r="C262" s="207" t="s">
        <v>448</v>
      </c>
    </row>
    <row r="263" spans="1:3">
      <c r="A263" s="217">
        <v>20519589</v>
      </c>
      <c r="B263" s="207" t="s">
        <v>377</v>
      </c>
      <c r="C263" s="207" t="s">
        <v>448</v>
      </c>
    </row>
    <row r="264" spans="1:3">
      <c r="A264" s="217">
        <v>20519589</v>
      </c>
      <c r="B264" s="207" t="s">
        <v>462</v>
      </c>
      <c r="C264" s="207" t="s">
        <v>448</v>
      </c>
    </row>
    <row r="265" spans="1:3">
      <c r="A265" s="217">
        <v>20519589</v>
      </c>
      <c r="B265" s="207" t="s">
        <v>464</v>
      </c>
      <c r="C265" s="207" t="s">
        <v>6</v>
      </c>
    </row>
    <row r="266" spans="1:3">
      <c r="A266" s="217">
        <v>20519589</v>
      </c>
      <c r="B266" s="207" t="s">
        <v>466</v>
      </c>
      <c r="C266" s="207" t="s">
        <v>6</v>
      </c>
    </row>
    <row r="267" spans="1:3">
      <c r="A267" s="217">
        <v>20519589</v>
      </c>
      <c r="B267" s="207" t="s">
        <v>468</v>
      </c>
      <c r="C267" s="207" t="s">
        <v>0</v>
      </c>
    </row>
    <row r="268" spans="1:3">
      <c r="A268" s="217">
        <v>20519589</v>
      </c>
      <c r="B268" s="207" t="s">
        <v>389</v>
      </c>
      <c r="C268" s="209">
        <v>0.57999999999999996</v>
      </c>
    </row>
    <row r="269" spans="1:3">
      <c r="A269" s="217">
        <v>20519589</v>
      </c>
      <c r="B269" s="207" t="s">
        <v>390</v>
      </c>
      <c r="C269" s="209">
        <v>0.93</v>
      </c>
    </row>
    <row r="270" spans="1:3">
      <c r="A270" s="217">
        <v>20519589</v>
      </c>
      <c r="B270" s="207" t="s">
        <v>391</v>
      </c>
      <c r="C270" s="209">
        <v>0.9</v>
      </c>
    </row>
    <row r="271" spans="1:3">
      <c r="A271" s="217">
        <v>20519589</v>
      </c>
      <c r="B271" s="207" t="s">
        <v>392</v>
      </c>
      <c r="C271" s="209">
        <v>0.81</v>
      </c>
    </row>
    <row r="272" spans="1:3">
      <c r="A272" s="217">
        <v>21376043</v>
      </c>
      <c r="B272" s="207" t="s">
        <v>606</v>
      </c>
      <c r="C272" s="207" t="s">
        <v>23</v>
      </c>
    </row>
    <row r="273" spans="1:3">
      <c r="A273" s="217">
        <v>21376043</v>
      </c>
      <c r="B273" s="207" t="s">
        <v>607</v>
      </c>
      <c r="C273" s="207" t="s">
        <v>293</v>
      </c>
    </row>
    <row r="274" spans="1:3">
      <c r="A274" s="217">
        <v>21376043</v>
      </c>
      <c r="B274" s="207" t="s">
        <v>608</v>
      </c>
      <c r="C274" s="207" t="s">
        <v>298</v>
      </c>
    </row>
    <row r="275" spans="1:3">
      <c r="A275" s="217">
        <v>21376043</v>
      </c>
      <c r="B275" s="207" t="s">
        <v>315</v>
      </c>
      <c r="C275" s="207" t="s">
        <v>0</v>
      </c>
    </row>
    <row r="276" spans="1:3">
      <c r="A276" s="217">
        <v>21376043</v>
      </c>
      <c r="B276" s="207" t="s">
        <v>317</v>
      </c>
      <c r="C276" s="207" t="s">
        <v>0</v>
      </c>
    </row>
    <row r="277" spans="1:3">
      <c r="A277" s="217">
        <v>21376043</v>
      </c>
      <c r="B277" s="207" t="s">
        <v>319</v>
      </c>
      <c r="C277" s="207" t="s">
        <v>0</v>
      </c>
    </row>
    <row r="278" spans="1:3">
      <c r="A278" s="217">
        <v>21376043</v>
      </c>
      <c r="B278" s="207" t="s">
        <v>321</v>
      </c>
      <c r="C278" s="207" t="s">
        <v>0</v>
      </c>
    </row>
    <row r="279" spans="1:3">
      <c r="A279" s="217">
        <v>21376043</v>
      </c>
      <c r="B279" s="207" t="s">
        <v>322</v>
      </c>
      <c r="C279" s="207" t="s">
        <v>0</v>
      </c>
    </row>
    <row r="280" spans="1:3">
      <c r="A280" s="217">
        <v>21376043</v>
      </c>
      <c r="B280" s="207" t="s">
        <v>323</v>
      </c>
      <c r="C280" s="207" t="s">
        <v>0</v>
      </c>
    </row>
    <row r="281" spans="1:3">
      <c r="A281" s="217">
        <v>21376043</v>
      </c>
      <c r="B281" s="207" t="s">
        <v>324</v>
      </c>
      <c r="C281" s="207" t="s">
        <v>0</v>
      </c>
    </row>
    <row r="282" spans="1:3">
      <c r="A282" s="217">
        <v>21376043</v>
      </c>
      <c r="B282" s="207" t="s">
        <v>325</v>
      </c>
      <c r="C282" s="207" t="s">
        <v>0</v>
      </c>
    </row>
    <row r="283" spans="1:3">
      <c r="A283" s="217">
        <v>21376043</v>
      </c>
      <c r="B283" s="207" t="s">
        <v>326</v>
      </c>
      <c r="C283" s="207" t="s">
        <v>448</v>
      </c>
    </row>
    <row r="284" spans="1:3">
      <c r="A284" s="217">
        <v>21376043</v>
      </c>
      <c r="B284" s="207" t="s">
        <v>327</v>
      </c>
      <c r="C284" s="207" t="s">
        <v>448</v>
      </c>
    </row>
    <row r="285" spans="1:3">
      <c r="A285" s="217">
        <v>21376043</v>
      </c>
      <c r="B285" s="207" t="s">
        <v>328</v>
      </c>
      <c r="C285" s="207" t="s">
        <v>448</v>
      </c>
    </row>
    <row r="286" spans="1:3">
      <c r="A286" s="217">
        <v>21376043</v>
      </c>
      <c r="B286" s="207" t="s">
        <v>329</v>
      </c>
      <c r="C286" s="207" t="s">
        <v>448</v>
      </c>
    </row>
    <row r="287" spans="1:3">
      <c r="A287" s="217">
        <v>21376043</v>
      </c>
      <c r="B287" s="207" t="s">
        <v>330</v>
      </c>
      <c r="C287" s="207" t="s">
        <v>448</v>
      </c>
    </row>
    <row r="288" spans="1:3">
      <c r="A288" s="217">
        <v>21376043</v>
      </c>
      <c r="B288" s="207" t="s">
        <v>331</v>
      </c>
      <c r="C288" s="207" t="s">
        <v>448</v>
      </c>
    </row>
    <row r="289" spans="1:3">
      <c r="A289" s="217">
        <v>21376043</v>
      </c>
      <c r="B289" s="207" t="s">
        <v>333</v>
      </c>
      <c r="C289" s="207" t="s">
        <v>6</v>
      </c>
    </row>
    <row r="290" spans="1:3">
      <c r="A290" s="217">
        <v>21376043</v>
      </c>
      <c r="B290" s="207" t="s">
        <v>335</v>
      </c>
      <c r="C290" s="207" t="s">
        <v>0</v>
      </c>
    </row>
    <row r="291" spans="1:3">
      <c r="A291" s="217">
        <v>21376043</v>
      </c>
      <c r="B291" s="207" t="s">
        <v>337</v>
      </c>
      <c r="C291" s="207" t="s">
        <v>0</v>
      </c>
    </row>
    <row r="292" spans="1:3">
      <c r="A292" s="217">
        <v>21376043</v>
      </c>
      <c r="B292" s="207" t="s">
        <v>339</v>
      </c>
      <c r="C292" s="207" t="s">
        <v>0</v>
      </c>
    </row>
    <row r="293" spans="1:3">
      <c r="A293" s="217">
        <v>21376043</v>
      </c>
      <c r="B293" s="207" t="s">
        <v>341</v>
      </c>
      <c r="C293" s="207" t="s">
        <v>0</v>
      </c>
    </row>
    <row r="294" spans="1:3">
      <c r="A294" s="217">
        <v>21376043</v>
      </c>
      <c r="B294" s="207" t="s">
        <v>619</v>
      </c>
      <c r="C294" s="207" t="s">
        <v>0</v>
      </c>
    </row>
    <row r="295" spans="1:3">
      <c r="A295" s="217">
        <v>21376043</v>
      </c>
      <c r="B295" s="207" t="s">
        <v>620</v>
      </c>
      <c r="C295" s="207" t="s">
        <v>0</v>
      </c>
    </row>
    <row r="296" spans="1:3">
      <c r="A296" s="217">
        <v>21376043</v>
      </c>
      <c r="B296" s="207" t="s">
        <v>621</v>
      </c>
      <c r="C296" s="207" t="s">
        <v>6</v>
      </c>
    </row>
    <row r="297" spans="1:3">
      <c r="A297" s="217">
        <v>21376043</v>
      </c>
      <c r="B297" s="207" t="s">
        <v>622</v>
      </c>
      <c r="C297" s="207" t="s">
        <v>0</v>
      </c>
    </row>
    <row r="298" spans="1:3">
      <c r="A298" s="217">
        <v>21376043</v>
      </c>
      <c r="B298" s="207" t="s">
        <v>623</v>
      </c>
      <c r="C298" s="207" t="s">
        <v>6</v>
      </c>
    </row>
    <row r="299" spans="1:3">
      <c r="A299" s="217">
        <v>21376043</v>
      </c>
      <c r="B299" s="207" t="s">
        <v>624</v>
      </c>
      <c r="C299" s="207" t="s">
        <v>6</v>
      </c>
    </row>
    <row r="300" spans="1:3">
      <c r="A300" s="217">
        <v>21376043</v>
      </c>
      <c r="B300" s="207" t="s">
        <v>344</v>
      </c>
      <c r="C300" s="207" t="s">
        <v>0</v>
      </c>
    </row>
    <row r="301" spans="1:3">
      <c r="A301" s="217">
        <v>21376043</v>
      </c>
      <c r="B301" s="207" t="s">
        <v>346</v>
      </c>
      <c r="C301" s="207" t="s">
        <v>448</v>
      </c>
    </row>
    <row r="302" spans="1:3">
      <c r="A302" s="217">
        <v>21376043</v>
      </c>
      <c r="B302" s="207" t="s">
        <v>348</v>
      </c>
      <c r="C302" s="207" t="s">
        <v>448</v>
      </c>
    </row>
    <row r="303" spans="1:3">
      <c r="A303" s="217">
        <v>21376043</v>
      </c>
      <c r="B303" s="207" t="s">
        <v>350</v>
      </c>
      <c r="C303" s="207" t="s">
        <v>448</v>
      </c>
    </row>
    <row r="304" spans="1:3">
      <c r="A304" s="217">
        <v>21376043</v>
      </c>
      <c r="B304" s="207" t="s">
        <v>352</v>
      </c>
      <c r="C304" s="207" t="s">
        <v>448</v>
      </c>
    </row>
    <row r="305" spans="1:3">
      <c r="A305" s="217">
        <v>21376043</v>
      </c>
      <c r="B305" s="207" t="s">
        <v>354</v>
      </c>
      <c r="C305" s="207" t="s">
        <v>448</v>
      </c>
    </row>
    <row r="306" spans="1:3">
      <c r="A306" s="217">
        <v>21376043</v>
      </c>
      <c r="B306" s="207" t="s">
        <v>356</v>
      </c>
      <c r="C306" s="207" t="s">
        <v>448</v>
      </c>
    </row>
    <row r="307" spans="1:3">
      <c r="A307" s="217">
        <v>21376043</v>
      </c>
      <c r="B307" s="207" t="s">
        <v>358</v>
      </c>
      <c r="C307" s="207" t="s">
        <v>448</v>
      </c>
    </row>
    <row r="308" spans="1:3">
      <c r="A308" s="217">
        <v>21376043</v>
      </c>
      <c r="B308" s="207" t="s">
        <v>360</v>
      </c>
      <c r="C308" s="207" t="s">
        <v>448</v>
      </c>
    </row>
    <row r="309" spans="1:3">
      <c r="A309" s="217">
        <v>21376043</v>
      </c>
      <c r="B309" s="207" t="s">
        <v>362</v>
      </c>
      <c r="C309" s="207" t="s">
        <v>448</v>
      </c>
    </row>
    <row r="310" spans="1:3">
      <c r="A310" s="217">
        <v>21376043</v>
      </c>
      <c r="B310" s="207" t="s">
        <v>364</v>
      </c>
      <c r="C310" s="207" t="s">
        <v>0</v>
      </c>
    </row>
    <row r="311" spans="1:3">
      <c r="A311" s="217">
        <v>21376043</v>
      </c>
      <c r="B311" s="207" t="s">
        <v>366</v>
      </c>
      <c r="C311" s="207" t="s">
        <v>0</v>
      </c>
    </row>
    <row r="312" spans="1:3">
      <c r="A312" s="217">
        <v>21376043</v>
      </c>
      <c r="B312" s="207" t="s">
        <v>368</v>
      </c>
      <c r="C312" s="207" t="s">
        <v>6</v>
      </c>
    </row>
    <row r="313" spans="1:3">
      <c r="A313" s="217">
        <v>21376043</v>
      </c>
      <c r="B313" s="207" t="s">
        <v>370</v>
      </c>
      <c r="C313" s="207" t="s">
        <v>0</v>
      </c>
    </row>
    <row r="314" spans="1:3">
      <c r="A314" s="217">
        <v>21376043</v>
      </c>
      <c r="B314" s="207" t="s">
        <v>371</v>
      </c>
      <c r="C314" s="207" t="s">
        <v>6</v>
      </c>
    </row>
    <row r="315" spans="1:3">
      <c r="A315" s="217">
        <v>21376043</v>
      </c>
      <c r="B315" s="207" t="s">
        <v>373</v>
      </c>
      <c r="C315" s="207" t="s">
        <v>448</v>
      </c>
    </row>
    <row r="316" spans="1:3">
      <c r="A316" s="217">
        <v>21376043</v>
      </c>
      <c r="B316" s="207" t="s">
        <v>375</v>
      </c>
      <c r="C316" s="207" t="s">
        <v>448</v>
      </c>
    </row>
    <row r="317" spans="1:3">
      <c r="A317" s="217">
        <v>21376043</v>
      </c>
      <c r="B317" s="207" t="s">
        <v>377</v>
      </c>
      <c r="C317" s="207" t="s">
        <v>448</v>
      </c>
    </row>
    <row r="318" spans="1:3">
      <c r="A318" s="217">
        <v>21376043</v>
      </c>
      <c r="B318" s="207" t="s">
        <v>462</v>
      </c>
      <c r="C318" s="207" t="s">
        <v>448</v>
      </c>
    </row>
    <row r="319" spans="1:3">
      <c r="A319" s="217">
        <v>21376043</v>
      </c>
      <c r="B319" s="207" t="s">
        <v>464</v>
      </c>
      <c r="C319" s="207" t="s">
        <v>6</v>
      </c>
    </row>
    <row r="320" spans="1:3">
      <c r="A320" s="217">
        <v>21376043</v>
      </c>
      <c r="B320" s="207" t="s">
        <v>466</v>
      </c>
      <c r="C320" s="207" t="s">
        <v>0</v>
      </c>
    </row>
    <row r="321" spans="1:3">
      <c r="A321" s="217">
        <v>21376043</v>
      </c>
      <c r="B321" s="207" t="s">
        <v>468</v>
      </c>
      <c r="C321" s="207" t="s">
        <v>0</v>
      </c>
    </row>
    <row r="322" spans="1:3">
      <c r="A322" s="217">
        <v>21376043</v>
      </c>
      <c r="B322" s="207" t="s">
        <v>389</v>
      </c>
      <c r="C322" s="209">
        <v>1</v>
      </c>
    </row>
    <row r="323" spans="1:3">
      <c r="A323" s="217">
        <v>21376043</v>
      </c>
      <c r="B323" s="207" t="s">
        <v>390</v>
      </c>
      <c r="C323" s="209">
        <v>1</v>
      </c>
    </row>
    <row r="324" spans="1:3">
      <c r="A324" s="217">
        <v>21376043</v>
      </c>
      <c r="B324" s="207" t="s">
        <v>391</v>
      </c>
      <c r="C324" s="209">
        <v>1</v>
      </c>
    </row>
    <row r="325" spans="1:3">
      <c r="A325" s="217">
        <v>21376043</v>
      </c>
      <c r="B325" s="207" t="s">
        <v>392</v>
      </c>
      <c r="C325" s="209">
        <v>1</v>
      </c>
    </row>
    <row r="326" spans="1:3">
      <c r="A326" s="216">
        <v>17066074</v>
      </c>
      <c r="B326" t="s">
        <v>609</v>
      </c>
    </row>
    <row r="327" spans="1:3">
      <c r="A327" s="216">
        <v>17066074</v>
      </c>
      <c r="B327" t="s">
        <v>610</v>
      </c>
      <c r="C327">
        <v>2009</v>
      </c>
    </row>
    <row r="328" spans="1:3">
      <c r="A328" s="216">
        <v>21376043</v>
      </c>
      <c r="B328" t="s">
        <v>609</v>
      </c>
    </row>
    <row r="329" spans="1:3">
      <c r="A329" s="216">
        <v>21376043</v>
      </c>
      <c r="B329" t="s">
        <v>610</v>
      </c>
      <c r="C329">
        <v>2015</v>
      </c>
    </row>
    <row r="330" spans="1:3">
      <c r="A330" s="216">
        <v>20519589</v>
      </c>
      <c r="B330" t="s">
        <v>609</v>
      </c>
    </row>
    <row r="331" spans="1:3">
      <c r="A331" s="216">
        <v>20519589</v>
      </c>
      <c r="B331" t="s">
        <v>610</v>
      </c>
      <c r="C331">
        <v>2014</v>
      </c>
    </row>
    <row r="332" spans="1:3">
      <c r="A332" s="216">
        <v>18343633</v>
      </c>
      <c r="B332" t="s">
        <v>609</v>
      </c>
    </row>
    <row r="333" spans="1:3">
      <c r="A333" s="216">
        <v>18343633</v>
      </c>
      <c r="B333" t="s">
        <v>610</v>
      </c>
      <c r="C333">
        <v>2014</v>
      </c>
    </row>
  </sheetData>
  <sheetProtection algorithmName="SHA-512" hashValue="1efTmd66GvH7Cd5MAnHqF7x5npCmGG58jmOnKle4fA0W4LO9zHYcXio3VFSxDw/d8UApcIehbRu1USbbEHBV9w==" saltValue="ThiQT34dGkHY+gmfo3lTNg==" spinCount="100000" sheet="1" objects="1" scenarios="1" formatCells="0"/>
  <phoneticPr fontId="6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G1"/>
    </sheetView>
  </sheetViews>
  <sheetFormatPr defaultColWidth="9.1796875" defaultRowHeight="14.5"/>
  <sheetData/>
  <sheetProtection algorithmName="SHA-512" hashValue="lXBAwcA6UmCKRwmLc7rX5F0dKyV7K9nyau7+goJjENddkmWJ/jzK5RDkgt3LSWMfQgXQn3EEj8W1Yz+zonAnDw==" saltValue="jw+bBYEvHkqL658wboiQyw==" spinCount="100000" sheet="1" objects="1" scenarios="1" formatCell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RuleResultStore</vt:lpstr>
      <vt:lpstr>InputOptions</vt:lpstr>
      <vt:lpstr>QtyScoreRule</vt:lpstr>
      <vt:lpstr>MainMenu</vt:lpstr>
      <vt:lpstr>Checklist</vt:lpstr>
      <vt:lpstr>RuleStore</vt:lpstr>
      <vt:lpstr>ResultMetadata</vt:lpstr>
      <vt:lpstr>RuleMetadata</vt:lpstr>
      <vt:lpstr>PaperReviewStore</vt:lpstr>
      <vt:lpstr>Sheet1</vt:lpstr>
      <vt:lpstr>item1</vt:lpstr>
      <vt:lpstr>item10</vt:lpstr>
      <vt:lpstr>item11</vt:lpstr>
      <vt:lpstr>item12</vt:lpstr>
      <vt:lpstr>item13</vt:lpstr>
      <vt:lpstr>item14</vt:lpstr>
      <vt:lpstr>item15</vt:lpstr>
      <vt:lpstr>item16</vt:lpstr>
      <vt:lpstr>item17</vt:lpstr>
      <vt:lpstr>item18</vt:lpstr>
      <vt:lpstr>item19</vt:lpstr>
      <vt:lpstr>item2</vt:lpstr>
      <vt:lpstr>item201</vt:lpstr>
      <vt:lpstr>item202</vt:lpstr>
      <vt:lpstr>item203</vt:lpstr>
      <vt:lpstr>item204</vt:lpstr>
      <vt:lpstr>item205</vt:lpstr>
      <vt:lpstr>item206</vt:lpstr>
      <vt:lpstr>item21</vt:lpstr>
      <vt:lpstr>item22</vt:lpstr>
      <vt:lpstr>item23</vt:lpstr>
      <vt:lpstr>item24</vt:lpstr>
      <vt:lpstr>item25</vt:lpstr>
      <vt:lpstr>item26</vt:lpstr>
      <vt:lpstr>item27</vt:lpstr>
      <vt:lpstr>item28</vt:lpstr>
      <vt:lpstr>item29</vt:lpstr>
      <vt:lpstr>item3</vt:lpstr>
      <vt:lpstr>item30</vt:lpstr>
      <vt:lpstr>item31</vt:lpstr>
      <vt:lpstr>item32</vt:lpstr>
      <vt:lpstr>item33</vt:lpstr>
      <vt:lpstr>item34</vt:lpstr>
      <vt:lpstr>item35</vt:lpstr>
      <vt:lpstr>item36</vt:lpstr>
      <vt:lpstr>item37</vt:lpstr>
      <vt:lpstr>item38</vt:lpstr>
      <vt:lpstr>item39</vt:lpstr>
      <vt:lpstr>item4</vt:lpstr>
      <vt:lpstr>item40</vt:lpstr>
      <vt:lpstr>item41</vt:lpstr>
      <vt:lpstr>item42</vt:lpstr>
      <vt:lpstr>item5</vt:lpstr>
      <vt:lpstr>item6</vt:lpstr>
      <vt:lpstr>item7</vt:lpstr>
      <vt:lpstr>item8</vt:lpstr>
      <vt:lpstr>item9</vt:lpstr>
      <vt:lpstr>listOfDisease</vt:lpstr>
      <vt:lpstr>listOfModel</vt:lpstr>
      <vt:lpstr>listOfParasite</vt:lpstr>
      <vt:lpstr>listOfYear</vt:lpstr>
    </vt:vector>
  </TitlesOfParts>
  <Company>University of Manchester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florezo</dc:creator>
  <cp:lastModifiedBy>florezo</cp:lastModifiedBy>
  <cp:lastPrinted>2014-10-02T14:48:31Z</cp:lastPrinted>
  <dcterms:created xsi:type="dcterms:W3CDTF">2014-03-25T11:04:11Z</dcterms:created>
  <dcterms:modified xsi:type="dcterms:W3CDTF">2015-04-15T10:25:29Z</dcterms:modified>
</cp:coreProperties>
</file>