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lorezo\Documents\University of Manchester\Computer Science PhD\ThesisProject\Checklist\"/>
    </mc:Choice>
  </mc:AlternateContent>
  <bookViews>
    <workbookView xWindow="10" yWindow="160" windowWidth="19190" windowHeight="8430" tabRatio="784" firstSheet="1" activeTab="1"/>
  </bookViews>
  <sheets>
    <sheet name="RuleResultStore" sheetId="8" state="hidden" r:id="rId1"/>
    <sheet name="Checklist" sheetId="3" r:id="rId2"/>
    <sheet name="ResultMetadata" sheetId="9" state="hidden" r:id="rId3"/>
    <sheet name="InputOptions" sheetId="4" state="hidden" r:id="rId4"/>
    <sheet name="QtyScoreRule" sheetId="15" state="hidden" r:id="rId5"/>
    <sheet name="MainMenu" sheetId="12" state="hidden" r:id="rId6"/>
    <sheet name="RuleStore" sheetId="6" state="hidden" r:id="rId7"/>
    <sheet name="RuleMetadata" sheetId="7" state="hidden" r:id="rId8"/>
    <sheet name="PaperReviewStore" sheetId="10" state="hidden" r:id="rId9"/>
  </sheets>
  <functionGroups builtInGroupCount="18"/>
  <definedNames>
    <definedName name="item1">InputOptions!$D$4:$D$5</definedName>
    <definedName name="item10">InputOptions!$M$4:$M$5</definedName>
    <definedName name="item11">InputOptions!$N$4:$N$5</definedName>
    <definedName name="item12">InputOptions!$O$4:$O$6</definedName>
    <definedName name="item13">InputOptions!$P$4:$P$5</definedName>
    <definedName name="item14">InputOptions!$Q$4:$Q$5</definedName>
    <definedName name="item15">InputOptions!$R$4:$R$5</definedName>
    <definedName name="item16">InputOptions!$S$4:$S$5</definedName>
    <definedName name="item17">InputOptions!$T$4:$T$5</definedName>
    <definedName name="item18">InputOptions!$U$4:$U$5</definedName>
    <definedName name="item19">InputOptions!$V$4:$V$5</definedName>
    <definedName name="item2">InputOptions!$E$4:$E$5</definedName>
    <definedName name="item20">InputOptions!$W$4:$W$5</definedName>
    <definedName name="item21">InputOptions!$X$4:$X$6</definedName>
    <definedName name="item22">InputOptions!$Y$4:$Y$6</definedName>
    <definedName name="item23">InputOptions!$Z$4:$Z$6</definedName>
    <definedName name="item24">InputOptions!$AA$4:$AA$6</definedName>
    <definedName name="item25">InputOptions!$AB$4:$AB$6</definedName>
    <definedName name="item26">InputOptions!$AC$4:$AC$6</definedName>
    <definedName name="item27">InputOptions!$AD$4:$AD$6</definedName>
    <definedName name="item28">InputOptions!$AE$4:$AE$6</definedName>
    <definedName name="item29">InputOptions!$AF$4:$AF$6</definedName>
    <definedName name="item3">InputOptions!$F$4:$F$5</definedName>
    <definedName name="item30">InputOptions!$AG$4:$AG$6</definedName>
    <definedName name="item31">InputOptions!$AH$4:$AH$5</definedName>
    <definedName name="item32">InputOptions!$AI$4:$AI$5</definedName>
    <definedName name="item33">InputOptions!$AJ$4:$AJ$5</definedName>
    <definedName name="item34">InputOptions!$AK$4:$AK$5</definedName>
    <definedName name="item35">InputOptions!$AL$4:$AL$5</definedName>
    <definedName name="item36">InputOptions!$AM$4:$AM$6</definedName>
    <definedName name="item37">InputOptions!$AN$4:$AN$6</definedName>
    <definedName name="item38">InputOptions!$AO$4:$AO$5</definedName>
    <definedName name="item39">InputOptions!$AP$4:$AP$5</definedName>
    <definedName name="item4">InputOptions!$G$4:$G$5</definedName>
    <definedName name="item40">InputOptions!$AQ$4:$AQ$5</definedName>
    <definedName name="item41">InputOptions!$AR$4:$AR$5</definedName>
    <definedName name="item42">InputOptions!$AS$4:$AS$5</definedName>
    <definedName name="item43">InputOptions!$AT$4:$AT$5</definedName>
    <definedName name="item44">InputOptions!$AU$4:$AU$5</definedName>
    <definedName name="item5">InputOptions!$H$4:$H$5</definedName>
    <definedName name="item6">InputOptions!$I$4:$I$5</definedName>
    <definedName name="item6.1">InputOptions!$I$4:$I$5</definedName>
    <definedName name="item6.2">InputOptions!$J$4:$J$5</definedName>
    <definedName name="item6.3">InputOptions!$K$4:$K$5</definedName>
    <definedName name="item6.4">InputOptions!$L$4:$L$5</definedName>
    <definedName name="item6.5">InputOptions!$M$4:$M$5</definedName>
    <definedName name="item6.6">InputOptions!$N$4:$N$5</definedName>
    <definedName name="item7">InputOptions!$J$4:$J$6</definedName>
    <definedName name="item8">InputOptions!$K$4:$K$5</definedName>
    <definedName name="item9">InputOptions!$L$4:$L$6</definedName>
  </definedNames>
  <calcPr calcId="152511"/>
</workbook>
</file>

<file path=xl/calcChain.xml><?xml version="1.0" encoding="utf-8"?>
<calcChain xmlns="http://schemas.openxmlformats.org/spreadsheetml/2006/main">
  <c r="H2" i="15" l="1"/>
  <c r="I2" i="15"/>
  <c r="J2" i="15"/>
  <c r="K2" i="15"/>
  <c r="H3" i="15"/>
  <c r="I3" i="15"/>
  <c r="J3" i="15"/>
  <c r="K3" i="15"/>
  <c r="H4" i="15"/>
  <c r="I4" i="15"/>
  <c r="J4" i="15"/>
  <c r="K4" i="15"/>
  <c r="H5" i="15"/>
  <c r="I5" i="15"/>
  <c r="J5" i="15"/>
  <c r="K5" i="15"/>
  <c r="H6" i="15"/>
  <c r="I6" i="15"/>
  <c r="J6" i="15"/>
  <c r="K6" i="15"/>
  <c r="H7" i="15"/>
  <c r="I7" i="15"/>
  <c r="J7" i="15"/>
  <c r="K7" i="15"/>
  <c r="H8" i="15"/>
  <c r="I8" i="15"/>
  <c r="J8" i="15"/>
  <c r="K8" i="15"/>
  <c r="H9" i="15"/>
  <c r="I9" i="15"/>
  <c r="J9" i="15"/>
  <c r="K9" i="15"/>
  <c r="H10" i="15"/>
  <c r="I10" i="15"/>
  <c r="J10" i="15"/>
  <c r="K10" i="15"/>
  <c r="H11" i="15"/>
  <c r="I11" i="15"/>
  <c r="J11" i="15"/>
  <c r="K11" i="15"/>
  <c r="H12" i="15"/>
  <c r="I12" i="15"/>
  <c r="J12" i="15"/>
  <c r="K12" i="15"/>
  <c r="H13" i="15"/>
  <c r="I13" i="15"/>
  <c r="J13" i="15"/>
  <c r="K13" i="15"/>
  <c r="H14" i="15"/>
  <c r="I14" i="15"/>
  <c r="J14" i="15"/>
  <c r="K14" i="15"/>
  <c r="H15" i="15"/>
  <c r="I15" i="15"/>
  <c r="J15" i="15"/>
  <c r="K15" i="15"/>
  <c r="H16" i="15"/>
  <c r="I16" i="15"/>
  <c r="J16" i="15"/>
  <c r="K16" i="15"/>
  <c r="H17" i="15"/>
  <c r="I17" i="15"/>
  <c r="J17" i="15"/>
  <c r="K17" i="15"/>
  <c r="H18" i="15"/>
  <c r="I18" i="15"/>
  <c r="J18" i="15"/>
  <c r="K18" i="15"/>
  <c r="H19" i="15"/>
  <c r="I19" i="15"/>
  <c r="J19" i="15"/>
  <c r="K19" i="15"/>
  <c r="H20" i="15"/>
  <c r="I20" i="15"/>
  <c r="J20" i="15"/>
  <c r="K20" i="15"/>
  <c r="H21" i="15"/>
  <c r="I21" i="15"/>
  <c r="J21" i="15"/>
  <c r="K21" i="15"/>
  <c r="H22" i="15"/>
  <c r="I22" i="15"/>
  <c r="J22" i="15"/>
  <c r="K22" i="15"/>
  <c r="H23" i="15"/>
  <c r="I23" i="15"/>
  <c r="J23" i="15"/>
  <c r="K23" i="15"/>
  <c r="H24" i="15"/>
  <c r="I24" i="15"/>
  <c r="J24" i="15"/>
  <c r="K24" i="15"/>
  <c r="H25" i="15"/>
  <c r="I25" i="15"/>
  <c r="J25" i="15"/>
  <c r="K25" i="15"/>
  <c r="H26" i="15"/>
  <c r="I26" i="15"/>
  <c r="J26" i="15"/>
  <c r="K26" i="15"/>
  <c r="H27" i="15"/>
  <c r="I27" i="15"/>
  <c r="J27" i="15"/>
  <c r="K27" i="15"/>
  <c r="H28" i="15"/>
  <c r="I28" i="15"/>
  <c r="J28" i="15"/>
  <c r="K28" i="15"/>
  <c r="H29" i="15"/>
  <c r="I29" i="15"/>
  <c r="J29" i="15"/>
  <c r="K29" i="15"/>
  <c r="H30" i="15"/>
  <c r="I30" i="15"/>
  <c r="J30" i="15"/>
  <c r="K30" i="15"/>
  <c r="H31" i="15"/>
  <c r="I31" i="15"/>
  <c r="J31" i="15"/>
  <c r="K31" i="15"/>
  <c r="H32" i="15"/>
  <c r="I32" i="15"/>
  <c r="J32" i="15"/>
  <c r="K32" i="15"/>
  <c r="H33" i="15"/>
  <c r="I33" i="15"/>
  <c r="J33" i="15"/>
  <c r="K33" i="15"/>
  <c r="H34" i="15"/>
  <c r="I34" i="15"/>
  <c r="J34" i="15"/>
  <c r="K34" i="15"/>
  <c r="H35" i="15"/>
  <c r="I35" i="15"/>
  <c r="J35" i="15"/>
  <c r="K35" i="15"/>
  <c r="H36" i="15"/>
  <c r="I36" i="15"/>
  <c r="J36" i="15"/>
  <c r="K36" i="15"/>
  <c r="H37" i="15"/>
  <c r="I37" i="15"/>
  <c r="J37" i="15"/>
  <c r="K37" i="15"/>
  <c r="H38" i="15"/>
  <c r="I38" i="15"/>
  <c r="J38" i="15"/>
  <c r="K38" i="15"/>
  <c r="H39" i="15"/>
  <c r="I39" i="15"/>
  <c r="J39" i="15"/>
  <c r="K39" i="15"/>
  <c r="H40" i="15"/>
  <c r="I40" i="15"/>
  <c r="J40" i="15"/>
  <c r="K40" i="15"/>
  <c r="H41" i="15"/>
  <c r="I41" i="15"/>
  <c r="J41" i="15"/>
  <c r="K41" i="15"/>
  <c r="H42" i="15"/>
  <c r="I42" i="15"/>
  <c r="J42" i="15"/>
  <c r="K42" i="15"/>
  <c r="H43" i="15"/>
  <c r="I43" i="15"/>
  <c r="J43" i="15"/>
  <c r="K43" i="15"/>
  <c r="H44" i="15"/>
  <c r="I44" i="15"/>
  <c r="J44" i="15"/>
  <c r="K44" i="15"/>
  <c r="H45" i="15"/>
  <c r="I45" i="15"/>
  <c r="J45" i="15"/>
  <c r="K45" i="15"/>
  <c r="K46" i="15"/>
  <c r="E47" i="15"/>
  <c r="F47" i="15"/>
  <c r="J47" i="15"/>
  <c r="E48" i="15"/>
  <c r="F48" i="15"/>
  <c r="J48" i="15"/>
  <c r="E49" i="15"/>
  <c r="F49" i="15"/>
  <c r="J49" i="15"/>
  <c r="E50" i="15"/>
  <c r="F50" i="15"/>
  <c r="J50" i="15"/>
  <c r="E51" i="15"/>
  <c r="F51" i="15"/>
  <c r="J51" i="15"/>
  <c r="E52" i="15"/>
  <c r="F52" i="15"/>
  <c r="J52" i="15"/>
  <c r="E53" i="15"/>
  <c r="F53" i="15"/>
  <c r="J53" i="15"/>
  <c r="K53" i="15"/>
  <c r="E54" i="15"/>
  <c r="F54" i="15"/>
  <c r="J54" i="15"/>
  <c r="K54" i="15"/>
  <c r="E55" i="15"/>
  <c r="F55" i="15"/>
  <c r="J55" i="15"/>
  <c r="K55" i="15"/>
  <c r="E56" i="15"/>
  <c r="F56" i="15"/>
  <c r="J56" i="15"/>
  <c r="K56" i="15"/>
</calcChain>
</file>

<file path=xl/sharedStrings.xml><?xml version="1.0" encoding="utf-8"?>
<sst xmlns="http://schemas.openxmlformats.org/spreadsheetml/2006/main" count="1000" uniqueCount="293">
  <si>
    <t>YES</t>
  </si>
  <si>
    <t>Item#</t>
  </si>
  <si>
    <t>Information not available</t>
  </si>
  <si>
    <t>Please input the information of the reviewed paper</t>
  </si>
  <si>
    <t>RuleID</t>
  </si>
  <si>
    <t>RuleExpression</t>
  </si>
  <si>
    <t>RuleAction</t>
  </si>
  <si>
    <t>InterFunction</t>
  </si>
  <si>
    <t>InterVariable</t>
  </si>
  <si>
    <t>InterVarAddress</t>
  </si>
  <si>
    <t>InterVarAddress2</t>
  </si>
  <si>
    <t>QUALITYOK</t>
  </si>
  <si>
    <t>item1</t>
  </si>
  <si>
    <t>ISNULL</t>
  </si>
  <si>
    <t>item2</t>
  </si>
  <si>
    <t>VALUE</t>
  </si>
  <si>
    <t>item3</t>
  </si>
  <si>
    <t>DOMAINVALUES</t>
  </si>
  <si>
    <t>item4</t>
  </si>
  <si>
    <t>item5</t>
  </si>
  <si>
    <t>item7</t>
  </si>
  <si>
    <t>item8</t>
  </si>
  <si>
    <t>item9</t>
  </si>
  <si>
    <t>item10</t>
  </si>
  <si>
    <t>item11</t>
  </si>
  <si>
    <t>item12</t>
  </si>
  <si>
    <t>$G$16</t>
  </si>
  <si>
    <t>item13</t>
  </si>
  <si>
    <t>$G$17</t>
  </si>
  <si>
    <t>item14</t>
  </si>
  <si>
    <t>$G$20</t>
  </si>
  <si>
    <t>item15</t>
  </si>
  <si>
    <t>$G$21</t>
  </si>
  <si>
    <t>item16</t>
  </si>
  <si>
    <t>$G$22</t>
  </si>
  <si>
    <t>item17</t>
  </si>
  <si>
    <t>$G$23</t>
  </si>
  <si>
    <t>item18</t>
  </si>
  <si>
    <t>$G$24</t>
  </si>
  <si>
    <t>item19</t>
  </si>
  <si>
    <t>$G$25</t>
  </si>
  <si>
    <t>$G$26</t>
  </si>
  <si>
    <t>item21</t>
  </si>
  <si>
    <t>$G$27</t>
  </si>
  <si>
    <t>item22</t>
  </si>
  <si>
    <t>$G$28</t>
  </si>
  <si>
    <t>item23</t>
  </si>
  <si>
    <t>$G$29</t>
  </si>
  <si>
    <t>item24</t>
  </si>
  <si>
    <t>$G$30</t>
  </si>
  <si>
    <t>item25</t>
  </si>
  <si>
    <t>$G$31</t>
  </si>
  <si>
    <t>item26</t>
  </si>
  <si>
    <t>$G$32</t>
  </si>
  <si>
    <t>item27</t>
  </si>
  <si>
    <t>$G$35</t>
  </si>
  <si>
    <t>item28</t>
  </si>
  <si>
    <t>$G$36</t>
  </si>
  <si>
    <t>item29</t>
  </si>
  <si>
    <t>$G$37</t>
  </si>
  <si>
    <t>item30</t>
  </si>
  <si>
    <t>$G$38</t>
  </si>
  <si>
    <t>item31</t>
  </si>
  <si>
    <t>$G$39</t>
  </si>
  <si>
    <t>item32</t>
  </si>
  <si>
    <t>$G$40</t>
  </si>
  <si>
    <t>item33</t>
  </si>
  <si>
    <t>$G$41</t>
  </si>
  <si>
    <t>item34</t>
  </si>
  <si>
    <t>item35</t>
  </si>
  <si>
    <t>$G$43</t>
  </si>
  <si>
    <t>item36</t>
  </si>
  <si>
    <t>$G$44</t>
  </si>
  <si>
    <t>item37</t>
  </si>
  <si>
    <t>$G$45</t>
  </si>
  <si>
    <t>$G$46</t>
  </si>
  <si>
    <t>A</t>
  </si>
  <si>
    <t>B</t>
  </si>
  <si>
    <t>C</t>
  </si>
  <si>
    <t>D</t>
  </si>
  <si>
    <t>E</t>
  </si>
  <si>
    <t>F</t>
  </si>
  <si>
    <t>UserFunction</t>
  </si>
  <si>
    <t>UserVariable</t>
  </si>
  <si>
    <t>Result</t>
  </si>
  <si>
    <t>$G$18</t>
  </si>
  <si>
    <t>$G$34</t>
  </si>
  <si>
    <t>$G$50</t>
  </si>
  <si>
    <t>$G$52</t>
  </si>
  <si>
    <t>$G$19</t>
  </si>
  <si>
    <t>$G$33</t>
  </si>
  <si>
    <t>$G$47</t>
  </si>
  <si>
    <t>$G$48</t>
  </si>
  <si>
    <t>$G$49</t>
  </si>
  <si>
    <t>$G$51</t>
  </si>
  <si>
    <t>Not applicable</t>
  </si>
  <si>
    <t>$G$53</t>
  </si>
  <si>
    <t>$G$54</t>
  </si>
  <si>
    <t>$G$55</t>
  </si>
  <si>
    <t>$G$56</t>
  </si>
  <si>
    <t>$G$57</t>
  </si>
  <si>
    <t>$C$16</t>
  </si>
  <si>
    <t>MUST</t>
  </si>
  <si>
    <t>Please fill the fields
the fields cannot be empty</t>
  </si>
  <si>
    <t>$G$42</t>
  </si>
  <si>
    <t>MustBeProvided And ValueIsYes or NotMustBeProvide AND (Not ValueIsNo)</t>
  </si>
  <si>
    <t>$G$4</t>
  </si>
  <si>
    <t>$G$5</t>
  </si>
  <si>
    <t>$G$6</t>
  </si>
  <si>
    <t>$G$7</t>
  </si>
  <si>
    <t>Please answer the following questions according to
 the information reported in the experiment.</t>
  </si>
  <si>
    <t>PMID</t>
  </si>
  <si>
    <t>REVIEWNAME</t>
  </si>
  <si>
    <t>REVIEWVALUE</t>
  </si>
  <si>
    <t>Paper #</t>
  </si>
  <si>
    <t>Please provide the PMID</t>
  </si>
  <si>
    <t>Item groups</t>
  </si>
  <si>
    <t>Not (MustBeProvided and ValueIsInformationNotAvailable)</t>
  </si>
  <si>
    <t>NOTAPPLICABLE</t>
  </si>
  <si>
    <t>Weight (%)</t>
  </si>
  <si>
    <t>ScoreOfRank</t>
  </si>
  <si>
    <t>Rank of Importance</t>
  </si>
  <si>
    <t>Score of Mandatory</t>
  </si>
  <si>
    <t>Domain Mandatory Requirement</t>
  </si>
  <si>
    <t>Score of Rank</t>
  </si>
  <si>
    <t>Not Demanded</t>
  </si>
  <si>
    <t>ScoreOfItem</t>
  </si>
  <si>
    <t>ScoreTotal</t>
  </si>
  <si>
    <t>OtherInterVariable</t>
  </si>
  <si>
    <t>ItemID</t>
  </si>
  <si>
    <t>ItemDescription</t>
  </si>
  <si>
    <t>DomainMandatory</t>
  </si>
  <si>
    <t>StartRow</t>
  </si>
  <si>
    <t>EndRow</t>
  </si>
  <si>
    <t>QtyFullScore</t>
  </si>
  <si>
    <t>QtyWeight</t>
  </si>
  <si>
    <t>QtyFinalScore</t>
  </si>
  <si>
    <t>item</t>
  </si>
  <si>
    <t>Prefix</t>
  </si>
  <si>
    <t>Color</t>
  </si>
  <si>
    <t>QtyScoreBand</t>
  </si>
  <si>
    <t>MinScore</t>
  </si>
  <si>
    <t>MaxScore</t>
  </si>
  <si>
    <t>Red</t>
  </si>
  <si>
    <t>Yellow</t>
  </si>
  <si>
    <t>Green</t>
  </si>
  <si>
    <t>Y</t>
  </si>
  <si>
    <t>N</t>
  </si>
  <si>
    <t>RankOfImportance  (L/M/H)*</t>
  </si>
  <si>
    <t>item20</t>
  </si>
  <si>
    <t>$C$27</t>
  </si>
  <si>
    <t>$C$28</t>
  </si>
  <si>
    <t>$C$35</t>
  </si>
  <si>
    <t>$C$54</t>
  </si>
  <si>
    <t>QualityOK(item1)|=  MainRule</t>
  </si>
  <si>
    <t>QualityOK(item2)|=  MainRule</t>
  </si>
  <si>
    <t>QualityOK(item3)|=  MainRule</t>
  </si>
  <si>
    <t>QualityOK(item4)|=  MainRule</t>
  </si>
  <si>
    <t>QualityOK(item5)|=  MainRule</t>
  </si>
  <si>
    <t>QualityOK(item7)|=  MainRule</t>
  </si>
  <si>
    <t>QualityOK(item8)|=  MainRule</t>
  </si>
  <si>
    <t>QualityOK(item9)|=  MainRule</t>
  </si>
  <si>
    <t>QualityOK(item10)|=  MainRule</t>
  </si>
  <si>
    <t>QualityOK(item11)|=  MainRule</t>
  </si>
  <si>
    <t>QualityOK(item12)|=  MainRule</t>
  </si>
  <si>
    <t>QualityOK(item13)|=  MainRule</t>
  </si>
  <si>
    <t>QualityOK(item14)|=  MainRule</t>
  </si>
  <si>
    <t>QualityOK(item15)|=  MainRule</t>
  </si>
  <si>
    <t>QualityOK(item16)|=  MainRule</t>
  </si>
  <si>
    <t>QualityOK(item17)|=  MainRule</t>
  </si>
  <si>
    <t>QualityOK(item18)|=  MainRule</t>
  </si>
  <si>
    <t>QualityOK(item19)|=  MainRule</t>
  </si>
  <si>
    <t>QualityOK(item20)|=  MainRule</t>
  </si>
  <si>
    <t>QualityOK(item21)|=  MainRule</t>
  </si>
  <si>
    <t>QualityOK(item22)|=  MainRule</t>
  </si>
  <si>
    <t>QualityOK(item23)|=  MainRule</t>
  </si>
  <si>
    <t>QualityOK(item24)|=  MainRule</t>
  </si>
  <si>
    <t>QualityOK(item25)|=  MainRule</t>
  </si>
  <si>
    <t>QualityOK(item26)|=  MainRule</t>
  </si>
  <si>
    <t>QualityOK(item27)|=  MainRule</t>
  </si>
  <si>
    <t>QualityOK(item28)|=  MainRule</t>
  </si>
  <si>
    <t>QualityOK(item29)|=  MainRule</t>
  </si>
  <si>
    <t>QualityOK(item30)|=  MainRule</t>
  </si>
  <si>
    <t>QualityOK(item31)|=  MainRule</t>
  </si>
  <si>
    <t>QualityOK(item32)|=  MainRule</t>
  </si>
  <si>
    <t>QualityOK(item33)|=  MainRule</t>
  </si>
  <si>
    <t>QualityOK(item34)|=  MainRule</t>
  </si>
  <si>
    <t>QualityOK(item35)|=  MainRule</t>
  </si>
  <si>
    <t>QualityOK(item36)|=  MainRule</t>
  </si>
  <si>
    <t>QualityOK(item37)|=  MainRule</t>
  </si>
  <si>
    <t>TopGroup1</t>
  </si>
  <si>
    <t>TopGroup2</t>
  </si>
  <si>
    <t>TopGroup3</t>
  </si>
  <si>
    <t>WholeReport</t>
  </si>
  <si>
    <t>QualityOK(WholeReport )  |= QualityOK(TopGroup1)  And  QualityOK(TopGroup2)  And  QualityOK(TopGroup3)</t>
  </si>
  <si>
    <t>QualityOK</t>
  </si>
  <si>
    <t>Quality of reporting for clinical assessment</t>
  </si>
  <si>
    <t>Quality of reporting for methods</t>
  </si>
  <si>
    <t>Quality of reporting for results</t>
  </si>
  <si>
    <t>Overall quality of congenital cataract reporting</t>
  </si>
  <si>
    <r>
      <t xml:space="preserve">Checklist for the Reporting of </t>
    </r>
    <r>
      <rPr>
        <b/>
        <i/>
        <sz val="15"/>
        <color theme="0"/>
        <rFont val="Calibri"/>
        <family val="2"/>
        <scheme val="minor"/>
      </rPr>
      <t>Congenital Cataract</t>
    </r>
    <r>
      <rPr>
        <b/>
        <sz val="15"/>
        <color theme="0"/>
        <rFont val="Calibri"/>
        <family val="2"/>
        <scheme val="minor"/>
      </rPr>
      <t xml:space="preserve"> Clinical Data</t>
    </r>
  </si>
  <si>
    <t>Clinical Assessment</t>
  </si>
  <si>
    <t>General Information</t>
  </si>
  <si>
    <t>Has a three generation family history been taken?</t>
  </si>
  <si>
    <t>Is the age at disease onset detailed?</t>
  </si>
  <si>
    <t>Has a basic ophthalmic examination been conducted?</t>
  </si>
  <si>
    <t>Have findings from anterior segment examination been described?</t>
  </si>
  <si>
    <t>Has the position/morphology of the cataract been described?</t>
  </si>
  <si>
    <t>Have other ocular assessments been conducted? (e.g.- ERG, VEP, IOP)</t>
  </si>
  <si>
    <t>Has a dysmorphology assessment been undertaken?</t>
  </si>
  <si>
    <t>Have the parents +/- siblings undergone ophthalmic/genetic assessment?</t>
  </si>
  <si>
    <t>Has the phenotype in other affected family members been described?</t>
  </si>
  <si>
    <t>Have any pictures of phenotypic features been presented?</t>
  </si>
  <si>
    <t>Has biochemical testing been conducted?</t>
  </si>
  <si>
    <t>Have other paediatric assessments been conducted? (e.g.- bone profiling, MRI, EGC?)</t>
  </si>
  <si>
    <t>Methods</t>
  </si>
  <si>
    <t>General</t>
  </si>
  <si>
    <t>Is the sample origin described? (e.g.- blood, saliva, buccal swab, tissue sample)</t>
  </si>
  <si>
    <t>Is the method of DNA extraction described?</t>
  </si>
  <si>
    <t>Has whole chromosome analysis been conducted? (e.g. Karyotyping/aCGH, to rule out structural rearrangement/ large deletion/large duplication, or SNP array to identify regions IBD in individuals from consanguineous descent)</t>
  </si>
  <si>
    <t>Sanger sequencing</t>
  </si>
  <si>
    <t>Has the transcript used been detailed?</t>
  </si>
  <si>
    <t>Have the primers used for PCR been detailed?</t>
  </si>
  <si>
    <t>Have the PCR conditions been detailed? (minimum information would be annealing temperature for each primer pair used)</t>
  </si>
  <si>
    <t>Are there details of the sequencing kit and sequencer used?</t>
  </si>
  <si>
    <t>Are appropriate positive/negative controls described?</t>
  </si>
  <si>
    <t>Next generation sequencing</t>
  </si>
  <si>
    <t>Are the transcripts used in the design detailed/justified?</t>
  </si>
  <si>
    <t>Are the genomic regions (exons +/-…bp intronic sequence, UTRs) included in the design detailed?</t>
  </si>
  <si>
    <t>Is the chemistry/kit used for the enrichment detailed?</t>
  </si>
  <si>
    <t>Are there details of the sequencing platform used?</t>
  </si>
  <si>
    <t>Is the program used for alignment of sequencing reads detailed?</t>
  </si>
  <si>
    <t>Is the program used for the annotation of sequencing reads detailed?</t>
  </si>
  <si>
    <t>Is the program used for variant calling detailed?</t>
  </si>
  <si>
    <t>Are the quality parameters for the inclusion/exclusion of variants detailed?</t>
  </si>
  <si>
    <t>Is the methodology for filtering the data to find the causative variant described?</t>
  </si>
  <si>
    <t>Are suspected disease-causing variants confirmed by Sanger sequencing?</t>
  </si>
  <si>
    <t>General analysis/ determining pathogenicity</t>
  </si>
  <si>
    <t>Are reliable population variant data bases used to determine the frequency of variants of interest in (relevant) control populations? (e.g. EVS, dbSNP)</t>
  </si>
  <si>
    <t>Are in silico analysis tools used to help determine the pathogenicity of suspected disease causing variants?</t>
  </si>
  <si>
    <t>Are in silico prediction confidence scores provided?</t>
  </si>
  <si>
    <t>Are curated/validated disease relevant/locus specific databases used in analysis? (e.g. HGMD, OMIM)</t>
  </si>
  <si>
    <t>Is the conservation of the affected residue/ region assessed across multiple species?</t>
  </si>
  <si>
    <t>Is protein modelling of the variant pursued to try and determine the effect of the change on the structure/function?</t>
  </si>
  <si>
    <t>Is co-segregation analysis conducted in relevant family members?</t>
  </si>
  <si>
    <t>Are previous reports in the literature drawn on to try and interpret findings?</t>
  </si>
  <si>
    <t>Are in vivo experiments conducted to try and assess the true pathogenic effect of the suspected mutation?</t>
  </si>
  <si>
    <t>Result reporting</t>
  </si>
  <si>
    <t>Is the cDNA change reported?</t>
  </si>
  <si>
    <t>Is the predicted protein change reported?</t>
  </si>
  <si>
    <t>Is a recognised means of nomenclature used to report mutation findings? (e.g. HGVS, HUGO, CMGS)</t>
  </si>
  <si>
    <t>Is appropriate terminology used to describe the identified variant(s) given the lines of evidence for pathogenicity available? (e.g. unlikely, uncertain, likely, definitely)</t>
  </si>
  <si>
    <t>Are the limitations of the methodology acknowledged?</t>
  </si>
  <si>
    <t>QualityOK(item6)|=  MainRule</t>
  </si>
  <si>
    <t>QualityOK(item38)|=  MainRule</t>
  </si>
  <si>
    <t>QualityOK(item39)|=  MainRule</t>
  </si>
  <si>
    <t>QualityOK(item40)|=  MainRule</t>
  </si>
  <si>
    <t>QualityOK(item41)|=  MainRule</t>
  </si>
  <si>
    <t>QualityOK(item42)|=  MainRule</t>
  </si>
  <si>
    <t>QualityOK(item43)|=  MainRule</t>
  </si>
  <si>
    <t>QualityOK(item44)|=  MainRule</t>
  </si>
  <si>
    <t xml:space="preserve">QualityOK(A)|=QualityOK(item1)  And  QualityOK(item2)  AND  QualityOK(item3)   AND  QualityOK(item4)   AND  QualityOK(item5) AND QualityOK(item6) AND QualityOK(item7) AND QualityOK(item8) AND QualityOK(item9) AND QualityOK(item10) AND QualityOK(item11) AND QualityOK(item12)       </t>
  </si>
  <si>
    <t>QualityOK(B)|=QualityOK(item13)  And  QualityOK(item14)  And  QualityOK(item15)</t>
  </si>
  <si>
    <t>QualityOK(C)|=QualityOK(item16)  And  QualityOK(item17) AND QualityOK(item18) AND QualityOK(item19) AND QualityOK(item20)</t>
  </si>
  <si>
    <t>QualityOK(D)|=QualityOK(item21)  And  QualityOK(item22)   And  QualityOK(item23)  And  QualityOK(item24)  And  QualityOK(item25)  And  QualityOK(item26) And  QualityOK(item27) And  QualityOK(item28) And  QualityOK(item29) And  QualityOK(item30)</t>
  </si>
  <si>
    <t>QualityOK(E)|=QualityOK(item31)  And  QualityOK(item32)   And  QualityOK(item33)  And  QualityOK(item34)  And  QualityOK(item35)  And  QualityOK(item36)  And  QualityOK(item37) And  QualityOK(item38) And  QualityOK(item39)</t>
  </si>
  <si>
    <t>QualityOK(F)|=QualityOK(item40)  And  QualityOK(item41)   And  QualityOK(item42)  And  QualityOK(item43)  And  QualityOK(item44)</t>
  </si>
  <si>
    <t>QualityOK(TopGroup1) |= QualityOK(A)</t>
  </si>
  <si>
    <t>QualityOK(TopGroup2) |= QualityOK(B)  AND  QualityOK(C)   AND  QualityOK(D)  AND  QualityOK(E)</t>
  </si>
  <si>
    <r>
      <t xml:space="preserve">QualityOK(TopGroup3) |= </t>
    </r>
    <r>
      <rPr>
        <sz val="11"/>
        <rFont val="Calibri"/>
        <family val="2"/>
        <scheme val="minor"/>
      </rPr>
      <t xml:space="preserve"> QualityOK(F)</t>
    </r>
  </si>
  <si>
    <t>item6</t>
  </si>
  <si>
    <t>item38</t>
  </si>
  <si>
    <t>item39</t>
  </si>
  <si>
    <t>item40</t>
  </si>
  <si>
    <t>item41</t>
  </si>
  <si>
    <t>item42</t>
  </si>
  <si>
    <t>item43</t>
  </si>
  <si>
    <t>item44</t>
  </si>
  <si>
    <t>$G$58</t>
  </si>
  <si>
    <t>$G$59</t>
  </si>
  <si>
    <t>$C$30</t>
  </si>
  <si>
    <t>$C$31</t>
  </si>
  <si>
    <t>$C$36</t>
  </si>
  <si>
    <t>$C$45</t>
  </si>
  <si>
    <t>$C$46</t>
  </si>
  <si>
    <t>$C$55</t>
  </si>
  <si>
    <t>$C$59</t>
  </si>
  <si>
    <t>Has the family history of the condition been described?</t>
  </si>
  <si>
    <t>Is the ethnicity of the patient/family(s) described?</t>
  </si>
  <si>
    <t>Have other paediatric assessments been conducted? (e.g.- biochemical testing, MRI, ECG?)</t>
  </si>
  <si>
    <t>Paper Information</t>
  </si>
  <si>
    <t>Paper Reviews</t>
  </si>
  <si>
    <t>23508780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</si>
</sst>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1"/>
      <color theme="1"/>
      <name val="Calibri"/>
      <family val="2"/>
    </font>
    <font>
      <b/>
      <sz val="18"/>
      <color theme="7" tint="0.39997558519241921"/>
      <name val="Calibri"/>
      <family val="2"/>
      <scheme val="minor"/>
    </font>
    <font>
      <b/>
      <i/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i/>
      <sz val="15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9"/>
      <color theme="7" tint="0.39997558519241921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ck">
        <color rgb="FFFF6699"/>
      </left>
      <right/>
      <top/>
      <bottom/>
      <diagonal/>
    </border>
    <border>
      <left/>
      <right style="thick">
        <color rgb="FFFF6699"/>
      </right>
      <top/>
      <bottom/>
      <diagonal/>
    </border>
    <border>
      <left style="thick">
        <color rgb="FFFF6699"/>
      </left>
      <right/>
      <top/>
      <bottom style="thick">
        <color rgb="FFFF6699"/>
      </bottom>
      <diagonal/>
    </border>
    <border>
      <left/>
      <right/>
      <top/>
      <bottom style="thick">
        <color rgb="FFFF6699"/>
      </bottom>
      <diagonal/>
    </border>
    <border>
      <left/>
      <right style="thick">
        <color rgb="FFFF6699"/>
      </right>
      <top/>
      <bottom style="thick">
        <color rgb="FFFF669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3">
    <xf numFmtId="0" fontId="0" fillId="0" borderId="0"/>
    <xf numFmtId="0" fontId="7" fillId="2" borderId="1" applyNumberFormat="0" applyFont="0" applyAlignment="0" applyProtection="0"/>
    <xf numFmtId="0" fontId="7" fillId="0" borderId="0"/>
  </cellStyleXfs>
  <cellXfs count="233">
    <xf numFmtId="0" fontId="0" fillId="0" borderId="0" xfId="0"/>
    <xf numFmtId="0" fontId="0" fillId="0" borderId="0" xfId="0" applyFont="1" applyAlignment="1">
      <alignment wrapText="1"/>
    </xf>
    <xf numFmtId="0" fontId="0" fillId="3" borderId="0" xfId="0" applyFill="1"/>
    <xf numFmtId="0" fontId="0" fillId="3" borderId="0" xfId="0" applyFill="1" applyAlignment="1">
      <alignment wrapText="1"/>
    </xf>
    <xf numFmtId="0" fontId="0" fillId="6" borderId="0" xfId="0" applyFill="1"/>
    <xf numFmtId="0" fontId="1" fillId="4" borderId="0" xfId="0" applyFont="1" applyFill="1" applyAlignment="1" applyProtection="1">
      <alignment readingOrder="1"/>
      <protection locked="0"/>
    </xf>
    <xf numFmtId="0" fontId="1" fillId="4" borderId="0" xfId="0" applyFont="1" applyFill="1" applyAlignment="1" applyProtection="1">
      <alignment horizontal="center" readingOrder="1"/>
      <protection locked="0"/>
    </xf>
    <xf numFmtId="0" fontId="0" fillId="4" borderId="0" xfId="0" applyFill="1" applyAlignment="1" applyProtection="1">
      <alignment readingOrder="1"/>
      <protection locked="0"/>
    </xf>
    <xf numFmtId="0" fontId="0" fillId="0" borderId="0" xfId="0" applyAlignment="1" applyProtection="1">
      <alignment wrapText="1" readingOrder="1"/>
      <protection locked="0"/>
    </xf>
    <xf numFmtId="0" fontId="2" fillId="0" borderId="0" xfId="0" applyFont="1" applyAlignment="1" applyProtection="1">
      <alignment readingOrder="1"/>
      <protection locked="0"/>
    </xf>
    <xf numFmtId="0" fontId="0" fillId="4" borderId="0" xfId="0" applyFill="1" applyAlignment="1" applyProtection="1">
      <alignment wrapText="1" readingOrder="1"/>
      <protection locked="0"/>
    </xf>
    <xf numFmtId="0" fontId="2" fillId="0" borderId="0" xfId="0" applyFont="1" applyAlignment="1" applyProtection="1">
      <alignment wrapText="1" readingOrder="1"/>
      <protection locked="0"/>
    </xf>
    <xf numFmtId="0" fontId="1" fillId="0" borderId="0" xfId="0" applyFont="1" applyAlignment="1" applyProtection="1">
      <alignment horizontal="left" wrapText="1"/>
    </xf>
    <xf numFmtId="0" fontId="0" fillId="0" borderId="0" xfId="0" applyAlignment="1" applyProtection="1">
      <alignment wrapText="1"/>
    </xf>
    <xf numFmtId="0" fontId="0" fillId="0" borderId="0" xfId="0" applyProtection="1"/>
    <xf numFmtId="0" fontId="3" fillId="0" borderId="0" xfId="0" applyFont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0" fontId="0" fillId="0" borderId="0" xfId="0" applyAlignment="1" applyProtection="1">
      <alignment vertical="top"/>
    </xf>
    <xf numFmtId="0" fontId="4" fillId="0" borderId="0" xfId="0" applyFont="1" applyAlignment="1" applyProtection="1">
      <alignment vertical="top" wrapText="1"/>
    </xf>
    <xf numFmtId="0" fontId="2" fillId="0" borderId="0" xfId="0" applyFont="1" applyAlignment="1" applyProtection="1">
      <alignment vertical="top" wrapText="1"/>
    </xf>
    <xf numFmtId="0" fontId="1" fillId="7" borderId="0" xfId="0" applyFont="1" applyFill="1" applyProtection="1"/>
    <xf numFmtId="0" fontId="1" fillId="7" borderId="0" xfId="0" applyFont="1" applyFill="1" applyAlignment="1" applyProtection="1">
      <alignment horizontal="left" wrapText="1"/>
    </xf>
    <xf numFmtId="0" fontId="0" fillId="7" borderId="0" xfId="0" applyFill="1" applyAlignment="1" applyProtection="1">
      <alignment wrapText="1"/>
    </xf>
    <xf numFmtId="0" fontId="0" fillId="7" borderId="0" xfId="0" applyFill="1" applyProtection="1"/>
    <xf numFmtId="0" fontId="1" fillId="8" borderId="0" xfId="0" applyFont="1" applyFill="1" applyAlignment="1" applyProtection="1">
      <alignment horizontal="left" wrapText="1"/>
    </xf>
    <xf numFmtId="0" fontId="17" fillId="0" borderId="0" xfId="0" applyFont="1" applyFill="1" applyAlignment="1" applyProtection="1">
      <alignment readingOrder="1"/>
      <protection locked="0"/>
    </xf>
    <xf numFmtId="0" fontId="11" fillId="9" borderId="6" xfId="0" applyFont="1" applyFill="1" applyBorder="1" applyAlignment="1" applyProtection="1">
      <alignment horizontal="center" vertical="center" readingOrder="1"/>
    </xf>
    <xf numFmtId="0" fontId="13" fillId="0" borderId="9" xfId="0" applyFont="1" applyFill="1" applyBorder="1" applyAlignment="1" applyProtection="1">
      <alignment horizontal="center" vertical="center" readingOrder="1"/>
    </xf>
    <xf numFmtId="0" fontId="13" fillId="0" borderId="9" xfId="0" applyFont="1" applyFill="1" applyBorder="1" applyAlignment="1" applyProtection="1">
      <alignment horizontal="center" vertical="center" wrapText="1" readingOrder="1"/>
    </xf>
    <xf numFmtId="0" fontId="13" fillId="0" borderId="10" xfId="0" applyFont="1" applyFill="1" applyBorder="1" applyAlignment="1" applyProtection="1">
      <alignment horizontal="center" vertical="center" readingOrder="1"/>
    </xf>
    <xf numFmtId="49" fontId="0" fillId="0" borderId="0" xfId="0" applyNumberFormat="1"/>
    <xf numFmtId="0" fontId="7" fillId="0" borderId="0" xfId="2"/>
    <xf numFmtId="0" fontId="0" fillId="0" borderId="0" xfId="0" applyAlignment="1" applyProtection="1">
      <alignment horizontal="center" vertical="center" wrapText="1"/>
    </xf>
    <xf numFmtId="0" fontId="0" fillId="5" borderId="2" xfId="0" applyFill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 wrapText="1" readingOrder="1"/>
    </xf>
    <xf numFmtId="0" fontId="0" fillId="0" borderId="0" xfId="0" applyAlignment="1" applyProtection="1">
      <alignment horizontal="left" vertical="center" wrapText="1" readingOrder="1"/>
    </xf>
    <xf numFmtId="0" fontId="0" fillId="0" borderId="0" xfId="0" applyAlignment="1" applyProtection="1">
      <alignment readingOrder="1"/>
    </xf>
    <xf numFmtId="0" fontId="0" fillId="0" borderId="0" xfId="0" applyAlignment="1" applyProtection="1">
      <alignment wrapText="1" readingOrder="1"/>
    </xf>
    <xf numFmtId="0" fontId="9" fillId="0" borderId="0" xfId="0" applyFont="1" applyAlignment="1" applyProtection="1">
      <alignment horizontal="center" vertical="center" wrapText="1" readingOrder="1"/>
    </xf>
    <xf numFmtId="0" fontId="0" fillId="0" borderId="0" xfId="0" applyAlignment="1" applyProtection="1">
      <alignment vertical="center" wrapText="1" readingOrder="1"/>
    </xf>
    <xf numFmtId="0" fontId="10" fillId="0" borderId="0" xfId="0" applyFont="1" applyProtection="1"/>
    <xf numFmtId="0" fontId="0" fillId="0" borderId="0" xfId="0" applyFont="1" applyAlignment="1" applyProtection="1">
      <alignment wrapText="1"/>
    </xf>
    <xf numFmtId="0" fontId="17" fillId="0" borderId="0" xfId="0" applyFont="1" applyAlignment="1" applyProtection="1">
      <alignment wrapText="1"/>
    </xf>
    <xf numFmtId="0" fontId="11" fillId="9" borderId="6" xfId="0" applyFont="1" applyFill="1" applyBorder="1" applyAlignment="1" applyProtection="1">
      <alignment horizontal="center" vertical="center" wrapText="1" readingOrder="1"/>
    </xf>
    <xf numFmtId="0" fontId="18" fillId="12" borderId="13" xfId="0" applyFont="1" applyFill="1" applyBorder="1" applyAlignment="1" applyProtection="1">
      <alignment horizontal="center" vertical="center" wrapText="1" readingOrder="1"/>
    </xf>
    <xf numFmtId="0" fontId="13" fillId="14" borderId="8" xfId="0" quotePrefix="1" applyFont="1" applyFill="1" applyBorder="1" applyAlignment="1" applyProtection="1">
      <alignment horizontal="center" vertical="center" readingOrder="1"/>
    </xf>
    <xf numFmtId="0" fontId="13" fillId="0" borderId="0" xfId="0" applyFont="1" applyFill="1" applyBorder="1" applyAlignment="1" applyProtection="1">
      <alignment horizontal="center" vertical="center" wrapText="1" readingOrder="1"/>
    </xf>
    <xf numFmtId="0" fontId="0" fillId="0" borderId="0" xfId="0" applyAlignment="1">
      <alignment horizontal="center"/>
    </xf>
    <xf numFmtId="0" fontId="0" fillId="0" borderId="0" xfId="0" applyAlignment="1">
      <alignment horizontal="center" readingOrder="1"/>
    </xf>
    <xf numFmtId="0" fontId="20" fillId="0" borderId="2" xfId="0" applyFont="1" applyFill="1" applyBorder="1" applyAlignment="1">
      <alignment horizontal="center" vertical="center" wrapText="1"/>
    </xf>
    <xf numFmtId="1" fontId="23" fillId="0" borderId="0" xfId="0" applyNumberFormat="1" applyFont="1" applyAlignment="1">
      <alignment horizontal="center"/>
    </xf>
    <xf numFmtId="0" fontId="20" fillId="0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24" fillId="0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/>
    </xf>
    <xf numFmtId="0" fontId="20" fillId="11" borderId="17" xfId="0" applyFont="1" applyFill="1" applyBorder="1" applyAlignment="1">
      <alignment horizontal="center" vertical="center" readingOrder="1"/>
    </xf>
    <xf numFmtId="0" fontId="20" fillId="9" borderId="17" xfId="0" applyFont="1" applyFill="1" applyBorder="1" applyAlignment="1">
      <alignment horizontal="center" vertical="center" wrapText="1" readingOrder="1"/>
    </xf>
    <xf numFmtId="0" fontId="20" fillId="10" borderId="17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readingOrder="1"/>
    </xf>
    <xf numFmtId="0" fontId="0" fillId="0" borderId="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16" borderId="0" xfId="0" applyFill="1" applyBorder="1"/>
    <xf numFmtId="0" fontId="0" fillId="15" borderId="0" xfId="0" applyFill="1"/>
    <xf numFmtId="0" fontId="0" fillId="15" borderId="0" xfId="0" applyFill="1" applyAlignment="1">
      <alignment horizontal="center"/>
    </xf>
    <xf numFmtId="0" fontId="13" fillId="11" borderId="0" xfId="0" applyFont="1" applyFill="1" applyBorder="1" applyAlignment="1" applyProtection="1">
      <alignment horizontal="center" vertical="center" textRotation="90" readingOrder="1"/>
      <protection locked="0"/>
    </xf>
    <xf numFmtId="0" fontId="13" fillId="0" borderId="0" xfId="0" applyFont="1" applyFill="1" applyBorder="1" applyAlignment="1" applyProtection="1">
      <alignment horizontal="center" vertical="center" wrapText="1" readingOrder="1"/>
      <protection locked="0"/>
    </xf>
    <xf numFmtId="0" fontId="24" fillId="0" borderId="27" xfId="0" applyFont="1" applyFill="1" applyBorder="1" applyAlignment="1">
      <alignment horizontal="center" vertical="center" wrapText="1"/>
    </xf>
    <xf numFmtId="0" fontId="24" fillId="0" borderId="29" xfId="0" applyFont="1" applyFill="1" applyBorder="1" applyAlignment="1">
      <alignment horizontal="center" vertical="center" wrapText="1"/>
    </xf>
    <xf numFmtId="0" fontId="24" fillId="0" borderId="17" xfId="0" applyFont="1" applyFill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/>
    </xf>
    <xf numFmtId="0" fontId="19" fillId="12" borderId="11" xfId="0" applyFont="1" applyFill="1" applyBorder="1" applyAlignment="1" applyProtection="1">
      <alignment horizontal="center" vertical="center" wrapText="1"/>
    </xf>
    <xf numFmtId="0" fontId="11" fillId="9" borderId="6" xfId="0" applyFont="1" applyFill="1" applyBorder="1" applyAlignment="1" applyProtection="1">
      <alignment horizontal="left" vertical="center" readingOrder="1"/>
    </xf>
    <xf numFmtId="0" fontId="0" fillId="4" borderId="0" xfId="0" applyFill="1" applyAlignment="1" applyProtection="1">
      <alignment horizontal="left" wrapText="1" readingOrder="1"/>
      <protection locked="0"/>
    </xf>
    <xf numFmtId="0" fontId="11" fillId="9" borderId="6" xfId="0" applyFont="1" applyFill="1" applyBorder="1" applyAlignment="1" applyProtection="1">
      <alignment horizontal="left" vertical="top" readingOrder="1"/>
    </xf>
    <xf numFmtId="0" fontId="0" fillId="4" borderId="0" xfId="0" applyFill="1" applyAlignment="1" applyProtection="1">
      <alignment horizontal="left" vertical="top" wrapText="1" readingOrder="1"/>
      <protection locked="0"/>
    </xf>
    <xf numFmtId="0" fontId="6" fillId="4" borderId="0" xfId="0" applyFont="1" applyFill="1" applyBorder="1" applyAlignment="1" applyProtection="1">
      <alignment horizontal="left" wrapText="1" readingOrder="1"/>
    </xf>
    <xf numFmtId="0" fontId="13" fillId="0" borderId="8" xfId="0" applyFont="1" applyFill="1" applyBorder="1" applyAlignment="1" applyProtection="1">
      <alignment horizontal="left" wrapText="1" readingOrder="1"/>
    </xf>
    <xf numFmtId="0" fontId="13" fillId="0" borderId="9" xfId="0" applyFont="1" applyFill="1" applyBorder="1" applyAlignment="1" applyProtection="1">
      <alignment horizontal="left" wrapText="1" readingOrder="1"/>
    </xf>
    <xf numFmtId="0" fontId="13" fillId="0" borderId="10" xfId="0" applyFont="1" applyFill="1" applyBorder="1" applyAlignment="1" applyProtection="1">
      <alignment horizontal="left" wrapText="1" readingOrder="1"/>
    </xf>
    <xf numFmtId="0" fontId="19" fillId="12" borderId="11" xfId="0" applyFont="1" applyFill="1" applyBorder="1" applyAlignment="1" applyProtection="1">
      <alignment horizontal="center" vertical="center" readingOrder="1"/>
      <protection locked="0"/>
    </xf>
    <xf numFmtId="0" fontId="19" fillId="12" borderId="18" xfId="0" applyFont="1" applyFill="1" applyBorder="1" applyAlignment="1" applyProtection="1">
      <alignment horizontal="center" vertical="center" wrapText="1" readingOrder="1"/>
      <protection locked="0"/>
    </xf>
    <xf numFmtId="0" fontId="15" fillId="0" borderId="20" xfId="0" applyFont="1" applyFill="1" applyBorder="1" applyAlignment="1" applyProtection="1">
      <alignment horizontal="center" vertical="center" readingOrder="1"/>
      <protection locked="0"/>
    </xf>
    <xf numFmtId="0" fontId="15" fillId="0" borderId="0" xfId="0" applyFont="1" applyFill="1" applyBorder="1" applyAlignment="1" applyProtection="1">
      <alignment horizontal="center" wrapText="1" readingOrder="1"/>
      <protection locked="0"/>
    </xf>
    <xf numFmtId="0" fontId="0" fillId="0" borderId="0" xfId="0" applyAlignment="1">
      <alignment horizontal="center" wrapText="1"/>
    </xf>
    <xf numFmtId="0" fontId="17" fillId="0" borderId="2" xfId="0" applyFont="1" applyBorder="1" applyAlignment="1">
      <alignment horizontal="center" wrapText="1"/>
    </xf>
    <xf numFmtId="0" fontId="17" fillId="0" borderId="28" xfId="0" applyFont="1" applyBorder="1" applyAlignment="1">
      <alignment horizontal="center" wrapText="1"/>
    </xf>
    <xf numFmtId="0" fontId="17" fillId="0" borderId="0" xfId="0" applyFont="1" applyAlignment="1">
      <alignment horizontal="center" wrapText="1"/>
    </xf>
    <xf numFmtId="0" fontId="0" fillId="0" borderId="2" xfId="0" applyBorder="1" applyAlignment="1">
      <alignment horizontal="center" wrapText="1"/>
    </xf>
    <xf numFmtId="0" fontId="25" fillId="0" borderId="2" xfId="0" applyFont="1" applyFill="1" applyBorder="1" applyAlignment="1">
      <alignment horizontal="center" wrapText="1"/>
    </xf>
    <xf numFmtId="0" fontId="16" fillId="0" borderId="28" xfId="0" applyFont="1" applyBorder="1" applyAlignment="1">
      <alignment horizontal="center" wrapText="1"/>
    </xf>
    <xf numFmtId="0" fontId="16" fillId="0" borderId="0" xfId="0" applyFont="1" applyAlignment="1">
      <alignment wrapText="1"/>
    </xf>
    <xf numFmtId="0" fontId="16" fillId="0" borderId="29" xfId="0" applyFont="1" applyBorder="1" applyAlignment="1">
      <alignment horizontal="center" wrapText="1"/>
    </xf>
    <xf numFmtId="0" fontId="17" fillId="0" borderId="29" xfId="0" applyFont="1" applyBorder="1" applyAlignment="1">
      <alignment horizontal="center" wrapText="1"/>
    </xf>
    <xf numFmtId="0" fontId="0" fillId="0" borderId="29" xfId="0" applyBorder="1" applyAlignment="1">
      <alignment horizontal="center" wrapText="1"/>
    </xf>
    <xf numFmtId="0" fontId="16" fillId="0" borderId="13" xfId="0" applyFont="1" applyBorder="1" applyAlignment="1">
      <alignment horizontal="center" wrapText="1"/>
    </xf>
    <xf numFmtId="2" fontId="17" fillId="0" borderId="0" xfId="0" applyNumberFormat="1" applyFont="1" applyAlignment="1">
      <alignment horizontal="center" wrapText="1"/>
    </xf>
    <xf numFmtId="0" fontId="17" fillId="0" borderId="0" xfId="0" applyFont="1" applyAlignment="1">
      <alignment horizontal="left" wrapText="1"/>
    </xf>
    <xf numFmtId="0" fontId="16" fillId="0" borderId="0" xfId="0" applyFont="1" applyAlignment="1">
      <alignment horizontal="left" wrapText="1"/>
    </xf>
    <xf numFmtId="0" fontId="25" fillId="0" borderId="30" xfId="0" applyFont="1" applyBorder="1"/>
    <xf numFmtId="0" fontId="25" fillId="0" borderId="17" xfId="0" applyFont="1" applyBorder="1"/>
    <xf numFmtId="0" fontId="25" fillId="0" borderId="29" xfId="0" applyFont="1" applyBorder="1"/>
    <xf numFmtId="0" fontId="0" fillId="15" borderId="0" xfId="0" applyFill="1" applyAlignment="1">
      <alignment horizontal="right" readingOrder="1"/>
    </xf>
    <xf numFmtId="0" fontId="0" fillId="0" borderId="0" xfId="0" applyFill="1" applyAlignment="1" applyProtection="1">
      <alignment readingOrder="1"/>
      <protection locked="0"/>
    </xf>
    <xf numFmtId="0" fontId="8" fillId="0" borderId="11" xfId="0" applyFont="1" applyBorder="1" applyAlignment="1" applyProtection="1">
      <alignment horizontal="center" vertical="center" wrapText="1" readingOrder="1"/>
    </xf>
    <xf numFmtId="0" fontId="8" fillId="0" borderId="12" xfId="0" applyFont="1" applyBorder="1" applyAlignment="1" applyProtection="1">
      <alignment horizontal="center" vertical="center" wrapText="1" readingOrder="1"/>
    </xf>
    <xf numFmtId="0" fontId="0" fillId="0" borderId="18" xfId="0" applyBorder="1" applyProtection="1"/>
    <xf numFmtId="0" fontId="8" fillId="0" borderId="6" xfId="0" applyFont="1" applyBorder="1" applyAlignment="1" applyProtection="1">
      <alignment horizontal="center" vertical="center" wrapText="1" readingOrder="1"/>
    </xf>
    <xf numFmtId="0" fontId="9" fillId="0" borderId="6" xfId="0" applyFont="1" applyBorder="1" applyAlignment="1" applyProtection="1">
      <alignment horizontal="center" vertical="center" wrapText="1" readingOrder="1"/>
    </xf>
    <xf numFmtId="0" fontId="0" fillId="0" borderId="6" xfId="0" applyBorder="1" applyAlignment="1" applyProtection="1">
      <alignment wrapText="1" readingOrder="1"/>
    </xf>
    <xf numFmtId="0" fontId="0" fillId="0" borderId="6" xfId="0" applyBorder="1" applyAlignment="1" applyProtection="1">
      <alignment readingOrder="1"/>
    </xf>
    <xf numFmtId="0" fontId="0" fillId="0" borderId="6" xfId="0" applyBorder="1" applyProtection="1"/>
    <xf numFmtId="0" fontId="0" fillId="0" borderId="20" xfId="0" applyBorder="1" applyProtection="1"/>
    <xf numFmtId="0" fontId="8" fillId="0" borderId="0" xfId="0" applyFont="1" applyBorder="1" applyAlignment="1" applyProtection="1">
      <alignment horizontal="center" vertical="center" wrapText="1" readingOrder="1"/>
    </xf>
    <xf numFmtId="0" fontId="0" fillId="0" borderId="0" xfId="0" applyBorder="1" applyAlignment="1" applyProtection="1">
      <alignment horizontal="left" vertical="center" wrapText="1" readingOrder="1"/>
    </xf>
    <xf numFmtId="0" fontId="9" fillId="0" borderId="0" xfId="0" applyFont="1" applyBorder="1" applyAlignment="1" applyProtection="1">
      <alignment horizontal="center" vertical="center" wrapText="1" readingOrder="1"/>
    </xf>
    <xf numFmtId="0" fontId="0" fillId="0" borderId="0" xfId="0" applyBorder="1" applyAlignment="1" applyProtection="1">
      <alignment wrapText="1" readingOrder="1"/>
    </xf>
    <xf numFmtId="0" fontId="0" fillId="0" borderId="0" xfId="0" applyBorder="1" applyAlignment="1" applyProtection="1">
      <alignment readingOrder="1"/>
    </xf>
    <xf numFmtId="0" fontId="0" fillId="0" borderId="0" xfId="0" applyBorder="1" applyProtection="1"/>
    <xf numFmtId="0" fontId="0" fillId="0" borderId="32" xfId="0" applyBorder="1" applyProtection="1"/>
    <xf numFmtId="0" fontId="8" fillId="0" borderId="33" xfId="0" applyFont="1" applyBorder="1" applyAlignment="1" applyProtection="1">
      <alignment horizontal="center" vertical="center" wrapText="1" readingOrder="1"/>
    </xf>
    <xf numFmtId="0" fontId="9" fillId="0" borderId="33" xfId="0" applyFont="1" applyBorder="1" applyAlignment="1" applyProtection="1">
      <alignment horizontal="center" vertical="center" wrapText="1" readingOrder="1"/>
    </xf>
    <xf numFmtId="0" fontId="0" fillId="0" borderId="33" xfId="0" applyBorder="1" applyAlignment="1" applyProtection="1">
      <alignment wrapText="1" readingOrder="1"/>
    </xf>
    <xf numFmtId="0" fontId="0" fillId="0" borderId="33" xfId="0" applyBorder="1" applyAlignment="1" applyProtection="1">
      <alignment readingOrder="1"/>
    </xf>
    <xf numFmtId="0" fontId="0" fillId="0" borderId="33" xfId="0" applyBorder="1" applyProtection="1"/>
    <xf numFmtId="0" fontId="0" fillId="0" borderId="0" xfId="0" applyFill="1" applyAlignment="1" applyProtection="1">
      <alignment wrapText="1"/>
    </xf>
    <xf numFmtId="0" fontId="0" fillId="16" borderId="0" xfId="0" applyFill="1" applyBorder="1" applyAlignment="1">
      <alignment horizontal="center" readingOrder="1"/>
    </xf>
    <xf numFmtId="0" fontId="0" fillId="16" borderId="22" xfId="0" applyFill="1" applyBorder="1" applyAlignment="1">
      <alignment horizontal="right" readingOrder="1"/>
    </xf>
    <xf numFmtId="0" fontId="0" fillId="16" borderId="23" xfId="0" applyFill="1" applyBorder="1" applyAlignment="1">
      <alignment horizontal="center"/>
    </xf>
    <xf numFmtId="0" fontId="13" fillId="4" borderId="0" xfId="0" applyFont="1" applyFill="1" applyBorder="1" applyAlignment="1" applyProtection="1">
      <alignment horizontal="center" readingOrder="1"/>
    </xf>
    <xf numFmtId="0" fontId="27" fillId="0" borderId="0" xfId="0" applyFont="1" applyFill="1" applyBorder="1" applyAlignment="1" applyProtection="1">
      <alignment horizontal="center" vertical="center" readingOrder="1"/>
    </xf>
    <xf numFmtId="0" fontId="28" fillId="12" borderId="13" xfId="0" applyFont="1" applyFill="1" applyBorder="1" applyAlignment="1" applyProtection="1">
      <alignment horizontal="center" vertical="center" readingOrder="1"/>
    </xf>
    <xf numFmtId="0" fontId="13" fillId="0" borderId="4" xfId="0" applyFont="1" applyFill="1" applyBorder="1" applyAlignment="1" applyProtection="1">
      <alignment horizontal="center" vertical="center" readingOrder="1"/>
    </xf>
    <xf numFmtId="0" fontId="13" fillId="11" borderId="0" xfId="0" applyFont="1" applyFill="1" applyAlignment="1" applyProtection="1">
      <alignment horizontal="center" readingOrder="1"/>
    </xf>
    <xf numFmtId="0" fontId="13" fillId="0" borderId="0" xfId="0" applyFont="1" applyFill="1" applyBorder="1" applyAlignment="1" applyProtection="1">
      <alignment horizontal="center" readingOrder="1"/>
    </xf>
    <xf numFmtId="0" fontId="28" fillId="12" borderId="11" xfId="0" applyFont="1" applyFill="1" applyBorder="1" applyAlignment="1" applyProtection="1">
      <alignment horizontal="center" vertical="center" wrapText="1" readingOrder="1"/>
    </xf>
    <xf numFmtId="0" fontId="13" fillId="4" borderId="0" xfId="0" applyFont="1" applyFill="1" applyAlignment="1" applyProtection="1">
      <alignment horizontal="center" readingOrder="1"/>
    </xf>
    <xf numFmtId="0" fontId="2" fillId="0" borderId="4" xfId="0" applyFont="1" applyFill="1" applyBorder="1" applyAlignment="1" applyProtection="1">
      <alignment horizontal="center" vertical="center" wrapText="1" readingOrder="1"/>
    </xf>
    <xf numFmtId="0" fontId="1" fillId="0" borderId="0" xfId="0" applyFont="1" applyFill="1" applyBorder="1" applyAlignment="1" applyProtection="1">
      <alignment horizontal="center" wrapText="1" readingOrder="1"/>
    </xf>
    <xf numFmtId="0" fontId="0" fillId="0" borderId="0" xfId="0" applyFill="1" applyAlignment="1" applyProtection="1">
      <alignment horizontal="center" wrapText="1" readingOrder="1"/>
      <protection locked="0"/>
    </xf>
    <xf numFmtId="0" fontId="0" fillId="4" borderId="0" xfId="0" applyFill="1" applyAlignment="1" applyProtection="1">
      <alignment horizontal="center" wrapText="1" readingOrder="1"/>
      <protection locked="0"/>
    </xf>
    <xf numFmtId="0" fontId="16" fillId="0" borderId="0" xfId="0" applyFont="1" applyAlignment="1">
      <alignment horizontal="center" wrapText="1"/>
    </xf>
    <xf numFmtId="0" fontId="14" fillId="0" borderId="9" xfId="0" applyFont="1" applyFill="1" applyBorder="1" applyAlignment="1" applyProtection="1">
      <alignment horizontal="center" vertical="center" wrapText="1" readingOrder="1"/>
      <protection locked="0"/>
    </xf>
    <xf numFmtId="0" fontId="14" fillId="0" borderId="10" xfId="0" applyFont="1" applyFill="1" applyBorder="1" applyAlignment="1" applyProtection="1">
      <alignment horizontal="center" vertical="center" wrapText="1" readingOrder="1"/>
      <protection locked="0"/>
    </xf>
    <xf numFmtId="0" fontId="26" fillId="0" borderId="2" xfId="0" applyFont="1" applyFill="1" applyBorder="1" applyAlignment="1">
      <alignment horizontal="right" wrapText="1"/>
    </xf>
    <xf numFmtId="0" fontId="0" fillId="0" borderId="2" xfId="0" applyFont="1" applyBorder="1" applyAlignment="1">
      <alignment horizontal="center" vertical="center" wrapText="1"/>
    </xf>
    <xf numFmtId="0" fontId="0" fillId="22" borderId="26" xfId="0" applyFill="1" applyBorder="1" applyAlignment="1">
      <alignment horizontal="center"/>
    </xf>
    <xf numFmtId="0" fontId="0" fillId="22" borderId="25" xfId="0" applyFill="1" applyBorder="1"/>
    <xf numFmtId="0" fontId="0" fillId="22" borderId="24" xfId="0" applyFill="1" applyBorder="1" applyAlignment="1">
      <alignment horizontal="right" readingOrder="1"/>
    </xf>
    <xf numFmtId="0" fontId="0" fillId="23" borderId="23" xfId="0" applyFill="1" applyBorder="1" applyAlignment="1">
      <alignment horizontal="center"/>
    </xf>
    <xf numFmtId="0" fontId="0" fillId="23" borderId="0" xfId="0" applyFill="1" applyBorder="1"/>
    <xf numFmtId="0" fontId="0" fillId="23" borderId="22" xfId="0" applyFill="1" applyBorder="1" applyAlignment="1">
      <alignment horizontal="right" readingOrder="1"/>
    </xf>
    <xf numFmtId="0" fontId="0" fillId="22" borderId="28" xfId="0" applyFill="1" applyBorder="1" applyAlignment="1">
      <alignment horizontal="center"/>
    </xf>
    <xf numFmtId="0" fontId="0" fillId="22" borderId="34" xfId="0" applyFill="1" applyBorder="1"/>
    <xf numFmtId="0" fontId="0" fillId="22" borderId="34" xfId="0" applyFill="1" applyBorder="1" applyAlignment="1">
      <alignment horizontal="center" readingOrder="1"/>
    </xf>
    <xf numFmtId="0" fontId="13" fillId="22" borderId="28" xfId="0" applyFont="1" applyFill="1" applyBorder="1" applyAlignment="1" applyProtection="1">
      <alignment horizontal="center" vertical="center" wrapText="1" readingOrder="1"/>
      <protection locked="0"/>
    </xf>
    <xf numFmtId="0" fontId="13" fillId="22" borderId="31" xfId="0" applyFont="1" applyFill="1" applyBorder="1" applyAlignment="1" applyProtection="1">
      <alignment horizontal="center" vertical="center" wrapText="1" readingOrder="1"/>
    </xf>
    <xf numFmtId="0" fontId="0" fillId="16" borderId="13" xfId="0" applyFill="1" applyBorder="1" applyAlignment="1">
      <alignment horizontal="center"/>
    </xf>
    <xf numFmtId="0" fontId="13" fillId="16" borderId="13" xfId="0" applyFont="1" applyFill="1" applyBorder="1" applyAlignment="1" applyProtection="1">
      <alignment horizontal="center" vertical="center" wrapText="1" readingOrder="1"/>
      <protection locked="0"/>
    </xf>
    <xf numFmtId="0" fontId="13" fillId="16" borderId="35" xfId="0" applyFont="1" applyFill="1" applyBorder="1" applyAlignment="1" applyProtection="1">
      <alignment horizontal="center" vertical="center" wrapText="1" readingOrder="1"/>
    </xf>
    <xf numFmtId="0" fontId="0" fillId="23" borderId="28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0" fontId="0" fillId="23" borderId="34" xfId="0" applyFill="1" applyBorder="1"/>
    <xf numFmtId="0" fontId="0" fillId="23" borderId="34" xfId="0" applyFill="1" applyBorder="1" applyAlignment="1">
      <alignment horizontal="center" readingOrder="1"/>
    </xf>
    <xf numFmtId="0" fontId="13" fillId="23" borderId="28" xfId="0" applyFont="1" applyFill="1" applyBorder="1" applyAlignment="1" applyProtection="1">
      <alignment horizontal="center" vertical="center" wrapText="1" readingOrder="1"/>
      <protection locked="0"/>
    </xf>
    <xf numFmtId="0" fontId="13" fillId="23" borderId="31" xfId="0" applyFont="1" applyFill="1" applyBorder="1" applyAlignment="1" applyProtection="1">
      <alignment horizontal="center" vertical="center" wrapText="1" readingOrder="1"/>
    </xf>
    <xf numFmtId="2" fontId="17" fillId="0" borderId="2" xfId="0" applyNumberFormat="1" applyFont="1" applyBorder="1" applyAlignment="1">
      <alignment horizontal="center"/>
    </xf>
    <xf numFmtId="2" fontId="17" fillId="0" borderId="29" xfId="0" applyNumberFormat="1" applyFont="1" applyBorder="1" applyAlignment="1">
      <alignment horizontal="center" wrapText="1"/>
    </xf>
    <xf numFmtId="0" fontId="0" fillId="0" borderId="29" xfId="0" applyBorder="1"/>
    <xf numFmtId="0" fontId="0" fillId="0" borderId="29" xfId="0" applyFill="1" applyBorder="1" applyAlignment="1">
      <alignment horizontal="center" vertical="center"/>
    </xf>
    <xf numFmtId="0" fontId="0" fillId="0" borderId="36" xfId="0" applyBorder="1" applyAlignment="1">
      <alignment vertical="center" wrapText="1"/>
    </xf>
    <xf numFmtId="2" fontId="17" fillId="0" borderId="30" xfId="0" applyNumberFormat="1" applyFont="1" applyBorder="1" applyAlignment="1">
      <alignment horizontal="center" wrapText="1"/>
    </xf>
    <xf numFmtId="0" fontId="0" fillId="0" borderId="30" xfId="0" applyBorder="1" applyAlignment="1">
      <alignment horizontal="center" wrapText="1"/>
    </xf>
    <xf numFmtId="0" fontId="0" fillId="0" borderId="30" xfId="0" applyBorder="1"/>
    <xf numFmtId="0" fontId="0" fillId="0" borderId="30" xfId="0" applyFill="1" applyBorder="1" applyAlignment="1">
      <alignment horizontal="center" vertical="center"/>
    </xf>
    <xf numFmtId="0" fontId="0" fillId="0" borderId="35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2" fontId="17" fillId="0" borderId="17" xfId="0" applyNumberFormat="1" applyFont="1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7" xfId="0" applyBorder="1"/>
    <xf numFmtId="0" fontId="0" fillId="0" borderId="17" xfId="0" applyFill="1" applyBorder="1" applyAlignment="1">
      <alignment horizontal="center" vertical="center"/>
    </xf>
    <xf numFmtId="0" fontId="25" fillId="0" borderId="35" xfId="0" applyFont="1" applyBorder="1"/>
    <xf numFmtId="0" fontId="0" fillId="0" borderId="0" xfId="0" applyFill="1" applyBorder="1" applyProtection="1"/>
    <xf numFmtId="9" fontId="13" fillId="24" borderId="14" xfId="0" applyNumberFormat="1" applyFont="1" applyFill="1" applyBorder="1" applyAlignment="1" applyProtection="1">
      <alignment horizontal="center" vertical="center" readingOrder="1"/>
    </xf>
    <xf numFmtId="9" fontId="13" fillId="25" borderId="15" xfId="0" applyNumberFormat="1" applyFont="1" applyFill="1" applyBorder="1" applyAlignment="1" applyProtection="1">
      <alignment horizontal="center" vertical="center" readingOrder="1"/>
    </xf>
    <xf numFmtId="9" fontId="13" fillId="25" borderId="16" xfId="0" applyNumberFormat="1" applyFont="1" applyFill="1" applyBorder="1" applyAlignment="1" applyProtection="1">
      <alignment horizontal="center" vertical="center" readingOrder="1"/>
    </xf>
    <xf numFmtId="9" fontId="0" fillId="0" borderId="0" xfId="0" applyNumberFormat="1"/>
    <xf numFmtId="0" fontId="20" fillId="0" borderId="8" xfId="0" applyFont="1" applyFill="1" applyBorder="1" applyAlignment="1">
      <alignment horizontal="center" vertical="center" wrapText="1"/>
    </xf>
    <xf numFmtId="0" fontId="20" fillId="0" borderId="9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  <protection locked="0"/>
    </xf>
    <xf numFmtId="0" fontId="0" fillId="0" borderId="9" xfId="0" applyFont="1" applyFill="1" applyBorder="1" applyAlignment="1" applyProtection="1">
      <alignment horizontal="center" vertical="center" wrapText="1"/>
      <protection locked="0"/>
    </xf>
    <xf numFmtId="0" fontId="0" fillId="0" borderId="10" xfId="0" applyFont="1" applyFill="1" applyBorder="1" applyAlignment="1" applyProtection="1">
      <alignment horizontal="center" vertical="center" wrapText="1"/>
      <protection locked="0"/>
    </xf>
    <xf numFmtId="0" fontId="20" fillId="14" borderId="8" xfId="0" applyFont="1" applyFill="1" applyBorder="1" applyAlignment="1" applyProtection="1">
      <alignment horizontal="center" vertical="center" wrapText="1" readingOrder="1"/>
      <protection locked="0"/>
    </xf>
    <xf numFmtId="9" fontId="14" fillId="26" borderId="14" xfId="0" applyNumberFormat="1" applyFont="1" applyFill="1" applyBorder="1" applyAlignment="1" applyProtection="1">
      <alignment horizontal="center" vertical="center" wrapText="1" readingOrder="1"/>
    </xf>
    <xf numFmtId="9" fontId="14" fillId="26" borderId="15" xfId="0" applyNumberFormat="1" applyFont="1" applyFill="1" applyBorder="1" applyAlignment="1" applyProtection="1">
      <alignment horizontal="center" vertical="center" wrapText="1" readingOrder="1"/>
    </xf>
    <xf numFmtId="9" fontId="14" fillId="26" borderId="16" xfId="0" applyNumberFormat="1" applyFont="1" applyFill="1" applyBorder="1" applyAlignment="1" applyProtection="1">
      <alignment horizontal="center" vertical="center" wrapText="1" readingOrder="1"/>
    </xf>
    <xf numFmtId="0" fontId="1" fillId="18" borderId="2" xfId="0" applyFont="1" applyFill="1" applyBorder="1" applyAlignment="1">
      <alignment horizontal="center" vertical="center" textRotation="90" wrapText="1"/>
    </xf>
    <xf numFmtId="0" fontId="1" fillId="16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textRotation="90" wrapText="1"/>
    </xf>
    <xf numFmtId="0" fontId="1" fillId="19" borderId="2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1" fillId="7" borderId="17" xfId="0" applyFont="1" applyFill="1" applyBorder="1" applyAlignment="1">
      <alignment horizontal="center" vertical="center" wrapText="1"/>
    </xf>
    <xf numFmtId="0" fontId="1" fillId="7" borderId="30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textRotation="90" wrapText="1"/>
    </xf>
    <xf numFmtId="0" fontId="1" fillId="0" borderId="30" xfId="0" applyFont="1" applyFill="1" applyBorder="1" applyAlignment="1">
      <alignment horizontal="center" vertical="center" textRotation="90" wrapText="1"/>
    </xf>
    <xf numFmtId="0" fontId="1" fillId="0" borderId="29" xfId="0" applyFont="1" applyFill="1" applyBorder="1" applyAlignment="1">
      <alignment horizontal="center" vertical="center" textRotation="90" wrapText="1"/>
    </xf>
    <xf numFmtId="0" fontId="0" fillId="0" borderId="31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21" fillId="13" borderId="3" xfId="0" applyFont="1" applyFill="1" applyBorder="1" applyAlignment="1" applyProtection="1">
      <alignment horizontal="center" vertical="center" readingOrder="1"/>
    </xf>
    <xf numFmtId="0" fontId="21" fillId="13" borderId="4" xfId="0" applyFont="1" applyFill="1" applyBorder="1" applyAlignment="1" applyProtection="1">
      <alignment horizontal="center" vertical="center" readingOrder="1"/>
    </xf>
    <xf numFmtId="0" fontId="19" fillId="12" borderId="18" xfId="0" applyFont="1" applyFill="1" applyBorder="1" applyAlignment="1" applyProtection="1">
      <alignment horizontal="left" vertical="center" wrapText="1"/>
    </xf>
    <xf numFmtId="0" fontId="19" fillId="12" borderId="19" xfId="0" applyFont="1" applyFill="1" applyBorder="1" applyAlignment="1" applyProtection="1">
      <alignment horizontal="left" vertical="center" wrapText="1"/>
    </xf>
    <xf numFmtId="0" fontId="19" fillId="12" borderId="18" xfId="0" applyFont="1" applyFill="1" applyBorder="1" applyAlignment="1" applyProtection="1">
      <alignment horizontal="center" vertical="center" wrapText="1" readingOrder="1"/>
    </xf>
    <xf numFmtId="0" fontId="19" fillId="12" borderId="6" xfId="0" applyFont="1" applyFill="1" applyBorder="1" applyAlignment="1" applyProtection="1">
      <alignment horizontal="center" vertical="center" wrapText="1" readingOrder="1"/>
    </xf>
    <xf numFmtId="0" fontId="19" fillId="12" borderId="19" xfId="0" applyFont="1" applyFill="1" applyBorder="1" applyAlignment="1" applyProtection="1">
      <alignment horizontal="center" vertical="center" wrapText="1" readingOrder="1"/>
    </xf>
    <xf numFmtId="0" fontId="12" fillId="11" borderId="3" xfId="1" applyFont="1" applyFill="1" applyBorder="1" applyAlignment="1" applyProtection="1">
      <alignment horizontal="center" wrapText="1" readingOrder="1"/>
    </xf>
    <xf numFmtId="0" fontId="12" fillId="11" borderId="5" xfId="1" applyFont="1" applyFill="1" applyBorder="1" applyAlignment="1" applyProtection="1">
      <alignment horizontal="center" wrapText="1" readingOrder="1"/>
    </xf>
    <xf numFmtId="0" fontId="1" fillId="0" borderId="7" xfId="0" applyFont="1" applyFill="1" applyBorder="1" applyAlignment="1" applyProtection="1">
      <alignment horizontal="center" readingOrder="1"/>
    </xf>
    <xf numFmtId="0" fontId="1" fillId="0" borderId="0" xfId="0" applyFont="1" applyFill="1" applyBorder="1" applyAlignment="1" applyProtection="1">
      <alignment horizontal="center" readingOrder="1"/>
    </xf>
    <xf numFmtId="0" fontId="16" fillId="4" borderId="0" xfId="0" applyFont="1" applyFill="1" applyBorder="1" applyAlignment="1" applyProtection="1">
      <alignment horizontal="center" readingOrder="1"/>
    </xf>
    <xf numFmtId="0" fontId="1" fillId="17" borderId="2" xfId="0" applyFont="1" applyFill="1" applyBorder="1" applyAlignment="1">
      <alignment horizontal="center" vertical="center" textRotation="90" wrapText="1"/>
    </xf>
    <xf numFmtId="0" fontId="1" fillId="4" borderId="2" xfId="0" applyFont="1" applyFill="1" applyBorder="1" applyAlignment="1">
      <alignment horizontal="center" vertical="center" wrapText="1"/>
    </xf>
    <xf numFmtId="0" fontId="1" fillId="20" borderId="2" xfId="0" applyFont="1" applyFill="1" applyBorder="1" applyAlignment="1">
      <alignment horizontal="center" vertical="center" textRotation="90" wrapText="1"/>
    </xf>
    <xf numFmtId="0" fontId="1" fillId="21" borderId="2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wrapText="1"/>
    </xf>
    <xf numFmtId="0" fontId="19" fillId="12" borderId="18" xfId="0" applyFont="1" applyFill="1" applyBorder="1" applyAlignment="1" applyProtection="1">
      <alignment horizontal="center" vertical="center" readingOrder="1"/>
      <protection locked="0"/>
    </xf>
    <xf numFmtId="0" fontId="19" fillId="12" borderId="6" xfId="0" applyFont="1" applyFill="1" applyBorder="1" applyAlignment="1" applyProtection="1">
      <alignment horizontal="center" vertical="center" readingOrder="1"/>
      <protection locked="0"/>
    </xf>
    <xf numFmtId="0" fontId="19" fillId="12" borderId="19" xfId="0" applyFont="1" applyFill="1" applyBorder="1" applyAlignment="1" applyProtection="1">
      <alignment horizontal="center" vertical="center" readingOrder="1"/>
      <protection locked="0"/>
    </xf>
    <xf numFmtId="0" fontId="1" fillId="4" borderId="17" xfId="0" applyFont="1" applyFill="1" applyBorder="1" applyAlignment="1">
      <alignment horizontal="center" vertical="center" wrapText="1"/>
    </xf>
    <xf numFmtId="0" fontId="1" fillId="4" borderId="30" xfId="0" applyFont="1" applyFill="1" applyBorder="1" applyAlignment="1">
      <alignment horizontal="center" vertical="center" wrapText="1"/>
    </xf>
    <xf numFmtId="0" fontId="1" fillId="4" borderId="29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2"/>
    <cellStyle name="Note" xfId="1" builtinId="10"/>
  </cellStyles>
  <dxfs count="0"/>
  <tableStyles count="0" defaultTableStyle="TableStyleMedium2" defaultPivotStyle="PivotStyleLight16"/>
  <colors>
    <mruColors>
      <color rgb="FFFF6699"/>
      <color rgb="FF99CCFF"/>
      <color rgb="FF0000CC"/>
      <color rgb="FFFF9900"/>
      <color rgb="FF000099"/>
      <color rgb="FFCC0000"/>
      <color rgb="FF336699"/>
      <color rgb="FF3366CC"/>
      <color rgb="FF009999"/>
      <color rgb="FF2037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jpeg"/><Relationship Id="rId1" Type="http://schemas.openxmlformats.org/officeDocument/2006/relationships/image" Target="../media/image7.jpeg"/><Relationship Id="rId4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36462</xdr:colOff>
      <xdr:row>2</xdr:row>
      <xdr:rowOff>2250</xdr:rowOff>
    </xdr:from>
    <xdr:ext cx="184731" cy="264558"/>
    <xdr:sp macro="" textlink="">
      <xdr:nvSpPr>
        <xdr:cNvPr id="2" name="TextBox 1"/>
        <xdr:cNvSpPr txBox="1"/>
      </xdr:nvSpPr>
      <xdr:spPr>
        <a:xfrm>
          <a:off x="830212" y="681700"/>
          <a:ext cx="184731" cy="2645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63500</xdr:colOff>
          <xdr:row>1</xdr:row>
          <xdr:rowOff>25400</xdr:rowOff>
        </xdr:from>
        <xdr:to>
          <xdr:col>2</xdr:col>
          <xdr:colOff>425450</xdr:colOff>
          <xdr:row>1</xdr:row>
          <xdr:rowOff>311150</xdr:rowOff>
        </xdr:to>
        <xdr:sp macro="" textlink="">
          <xdr:nvSpPr>
            <xdr:cNvPr id="3149" name="CommandButton1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1</xdr:row>
          <xdr:rowOff>25400</xdr:rowOff>
        </xdr:from>
        <xdr:to>
          <xdr:col>4</xdr:col>
          <xdr:colOff>742950</xdr:colOff>
          <xdr:row>1</xdr:row>
          <xdr:rowOff>311150</xdr:rowOff>
        </xdr:to>
        <xdr:sp macro="" textlink="">
          <xdr:nvSpPr>
            <xdr:cNvPr id="3151" name="CommandButton2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831850</xdr:colOff>
          <xdr:row>1</xdr:row>
          <xdr:rowOff>25400</xdr:rowOff>
        </xdr:from>
        <xdr:to>
          <xdr:col>4</xdr:col>
          <xdr:colOff>1987550</xdr:colOff>
          <xdr:row>1</xdr:row>
          <xdr:rowOff>311150</xdr:rowOff>
        </xdr:to>
        <xdr:sp macro="" textlink="">
          <xdr:nvSpPr>
            <xdr:cNvPr id="3152" name="CommandButton3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2076450</xdr:colOff>
          <xdr:row>1</xdr:row>
          <xdr:rowOff>25400</xdr:rowOff>
        </xdr:from>
        <xdr:to>
          <xdr:col>5</xdr:col>
          <xdr:colOff>1060450</xdr:colOff>
          <xdr:row>1</xdr:row>
          <xdr:rowOff>311150</xdr:rowOff>
        </xdr:to>
        <xdr:sp macro="" textlink="">
          <xdr:nvSpPr>
            <xdr:cNvPr id="3153" name="CommandButton4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1149350</xdr:colOff>
          <xdr:row>1</xdr:row>
          <xdr:rowOff>25400</xdr:rowOff>
        </xdr:from>
        <xdr:to>
          <xdr:col>6</xdr:col>
          <xdr:colOff>711200</xdr:colOff>
          <xdr:row>1</xdr:row>
          <xdr:rowOff>311150</xdr:rowOff>
        </xdr:to>
        <xdr:sp macro="" textlink="">
          <xdr:nvSpPr>
            <xdr:cNvPr id="3178" name="ComboBox1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800100</xdr:colOff>
          <xdr:row>1</xdr:row>
          <xdr:rowOff>25400</xdr:rowOff>
        </xdr:from>
        <xdr:to>
          <xdr:col>6</xdr:col>
          <xdr:colOff>1181100</xdr:colOff>
          <xdr:row>1</xdr:row>
          <xdr:rowOff>311150</xdr:rowOff>
        </xdr:to>
        <xdr:sp macro="" textlink="">
          <xdr:nvSpPr>
            <xdr:cNvPr id="3199" name="CommandButton5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70547</xdr:colOff>
      <xdr:row>3</xdr:row>
      <xdr:rowOff>0</xdr:rowOff>
    </xdr:from>
    <xdr:to>
      <xdr:col>4</xdr:col>
      <xdr:colOff>2183295</xdr:colOff>
      <xdr:row>10</xdr:row>
      <xdr:rowOff>0</xdr:rowOff>
    </xdr:to>
    <xdr:pic>
      <xdr:nvPicPr>
        <xdr:cNvPr id="10" name="Picture 9" descr="Congenital cataracts are a leading cause of blindness in children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2" r="2716"/>
        <a:stretch/>
      </xdr:blipFill>
      <xdr:spPr bwMode="auto">
        <a:xfrm>
          <a:off x="1397697" y="869950"/>
          <a:ext cx="2506448" cy="17580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70560</xdr:colOff>
      <xdr:row>6</xdr:row>
      <xdr:rowOff>220119</xdr:rowOff>
    </xdr:from>
    <xdr:to>
      <xdr:col>2</xdr:col>
      <xdr:colOff>463356</xdr:colOff>
      <xdr:row>9</xdr:row>
      <xdr:rowOff>162276</xdr:rowOff>
    </xdr:to>
    <xdr:pic>
      <xdr:nvPicPr>
        <xdr:cNvPr id="11" name="Picture 10" descr="http://elearn.cs.man.ac.uk/~atlas/images/uom-logo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60" y="2080669"/>
          <a:ext cx="1186546" cy="6914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78684</xdr:colOff>
      <xdr:row>3</xdr:row>
      <xdr:rowOff>16222</xdr:rowOff>
    </xdr:from>
    <xdr:to>
      <xdr:col>2</xdr:col>
      <xdr:colOff>471480</xdr:colOff>
      <xdr:row>5</xdr:row>
      <xdr:rowOff>16947</xdr:rowOff>
    </xdr:to>
    <xdr:pic>
      <xdr:nvPicPr>
        <xdr:cNvPr id="12" name="Picture 11" descr="http://imgwpowl.cs.manchester.ac.uk/wp-content/uploads/2011/03/BHIG2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684" y="886172"/>
          <a:ext cx="1186546" cy="661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72917</xdr:colOff>
      <xdr:row>5</xdr:row>
      <xdr:rowOff>97720</xdr:rowOff>
    </xdr:from>
    <xdr:to>
      <xdr:col>2</xdr:col>
      <xdr:colOff>475097</xdr:colOff>
      <xdr:row>6</xdr:row>
      <xdr:rowOff>22225</xdr:rowOff>
    </xdr:to>
    <xdr:pic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17" y="1628070"/>
          <a:ext cx="1195930" cy="2547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0</xdr:rowOff>
    </xdr:from>
    <xdr:ext cx="184731" cy="264558"/>
    <xdr:sp macro="" textlink="">
      <xdr:nvSpPr>
        <xdr:cNvPr id="2" name="TextBox 1"/>
        <xdr:cNvSpPr txBox="1"/>
      </xdr:nvSpPr>
      <xdr:spPr>
        <a:xfrm>
          <a:off x="3079750" y="0"/>
          <a:ext cx="184731" cy="2645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0</xdr:row>
          <xdr:rowOff>152400</xdr:rowOff>
        </xdr:from>
        <xdr:to>
          <xdr:col>0</xdr:col>
          <xdr:colOff>2393950</xdr:colOff>
          <xdr:row>0</xdr:row>
          <xdr:rowOff>704850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254000</xdr:colOff>
          <xdr:row>0</xdr:row>
          <xdr:rowOff>1028700</xdr:rowOff>
        </xdr:from>
        <xdr:to>
          <xdr:col>0</xdr:col>
          <xdr:colOff>2832100</xdr:colOff>
          <xdr:row>0</xdr:row>
          <xdr:rowOff>1390650</xdr:rowOff>
        </xdr:to>
        <xdr:sp macro="" textlink="">
          <xdr:nvSpPr>
            <xdr:cNvPr id="6146" name="CmdBtnInitialiseCheckListSystem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254000</xdr:colOff>
          <xdr:row>0</xdr:row>
          <xdr:rowOff>1562100</xdr:rowOff>
        </xdr:from>
        <xdr:to>
          <xdr:col>0</xdr:col>
          <xdr:colOff>2813050</xdr:colOff>
          <xdr:row>0</xdr:row>
          <xdr:rowOff>2152650</xdr:rowOff>
        </xdr:to>
        <xdr:sp macro="" textlink="">
          <xdr:nvSpPr>
            <xdr:cNvPr id="6147" name="CmdBtnSetDataValidatio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2914650</xdr:colOff>
          <xdr:row>0</xdr:row>
          <xdr:rowOff>171450</xdr:rowOff>
        </xdr:from>
        <xdr:to>
          <xdr:col>0</xdr:col>
          <xdr:colOff>4984750</xdr:colOff>
          <xdr:row>0</xdr:row>
          <xdr:rowOff>660400</xdr:rowOff>
        </xdr:to>
        <xdr:sp macro="" textlink="">
          <xdr:nvSpPr>
            <xdr:cNvPr id="6148" name="CmdBtnDeletePaper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5784850</xdr:colOff>
          <xdr:row>0</xdr:row>
          <xdr:rowOff>165100</xdr:rowOff>
        </xdr:from>
        <xdr:to>
          <xdr:col>2</xdr:col>
          <xdr:colOff>57150</xdr:colOff>
          <xdr:row>0</xdr:row>
          <xdr:rowOff>654050</xdr:rowOff>
        </xdr:to>
        <xdr:sp macro="" textlink="">
          <xdr:nvSpPr>
            <xdr:cNvPr id="6149" name="CommandButton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2921000</xdr:colOff>
          <xdr:row>0</xdr:row>
          <xdr:rowOff>1568450</xdr:rowOff>
        </xdr:from>
        <xdr:to>
          <xdr:col>0</xdr:col>
          <xdr:colOff>4991100</xdr:colOff>
          <xdr:row>0</xdr:row>
          <xdr:rowOff>2057400</xdr:rowOff>
        </xdr:to>
        <xdr:sp macro="" textlink="">
          <xdr:nvSpPr>
            <xdr:cNvPr id="6150" name="CommandButton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5797550</xdr:colOff>
          <xdr:row>0</xdr:row>
          <xdr:rowOff>1587500</xdr:rowOff>
        </xdr:from>
        <xdr:to>
          <xdr:col>2</xdr:col>
          <xdr:colOff>69850</xdr:colOff>
          <xdr:row>0</xdr:row>
          <xdr:rowOff>2076450</xdr:rowOff>
        </xdr:to>
        <xdr:sp macro="" textlink="">
          <xdr:nvSpPr>
            <xdr:cNvPr id="6151" name="CommandButton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5778500</xdr:colOff>
          <xdr:row>0</xdr:row>
          <xdr:rowOff>2438400</xdr:rowOff>
        </xdr:from>
        <xdr:to>
          <xdr:col>0</xdr:col>
          <xdr:colOff>8267700</xdr:colOff>
          <xdr:row>0</xdr:row>
          <xdr:rowOff>3194050</xdr:rowOff>
        </xdr:to>
        <xdr:sp macro="" textlink="">
          <xdr:nvSpPr>
            <xdr:cNvPr id="6152" name="CommandButton2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control" Target="../activeX/activeX12.xml"/><Relationship Id="rId18" Type="http://schemas.openxmlformats.org/officeDocument/2006/relationships/image" Target="../media/image18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5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7.emf"/><Relationship Id="rId1" Type="http://schemas.openxmlformats.org/officeDocument/2006/relationships/drawing" Target="../drawings/drawing3.xml"/><Relationship Id="rId6" Type="http://schemas.openxmlformats.org/officeDocument/2006/relationships/image" Target="../media/image12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4.emf"/><Relationship Id="rId4" Type="http://schemas.openxmlformats.org/officeDocument/2006/relationships/image" Target="../media/image11.emf"/><Relationship Id="rId9" Type="http://schemas.openxmlformats.org/officeDocument/2006/relationships/control" Target="../activeX/activeX10.xml"/><Relationship Id="rId14" Type="http://schemas.openxmlformats.org/officeDocument/2006/relationships/image" Target="../media/image16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55"/>
  <sheetViews>
    <sheetView workbookViewId="0">
      <pane ySplit="1" topLeftCell="A2" activePane="bottomLeft" state="frozen"/>
      <selection activeCell="F52" sqref="F52"/>
      <selection pane="bottomLeft" activeCell="D1" sqref="D1"/>
    </sheetView>
  </sheetViews>
  <sheetFormatPr defaultRowHeight="14.5"/>
  <cols>
    <col min="2" max="2" width="13.1796875" customWidth="1"/>
    <col min="3" max="3" width="20.36328125" customWidth="1"/>
    <col min="6" max="6" width="11.81640625" customWidth="1"/>
  </cols>
  <sheetData>
    <row r="1" spans="1:7" s="4" customFormat="1">
      <c r="A1" s="4" t="s">
        <v>4</v>
      </c>
      <c r="B1" s="4" t="s">
        <v>82</v>
      </c>
      <c r="C1" s="4" t="s">
        <v>83</v>
      </c>
      <c r="D1" s="4" t="s">
        <v>84</v>
      </c>
      <c r="E1" s="4" t="s">
        <v>134</v>
      </c>
      <c r="F1" s="4" t="s">
        <v>136</v>
      </c>
      <c r="G1" s="4" t="s">
        <v>135</v>
      </c>
    </row>
    <row r="2" spans="1:7">
      <c r="A2">
        <v>1</v>
      </c>
      <c r="B2" t="s">
        <v>195</v>
      </c>
      <c r="C2" t="s">
        <v>12</v>
      </c>
      <c r="D2" t="b">
        <v>1</v>
      </c>
      <c r="E2">
        <v>9</v>
      </c>
      <c r="F2">
        <v>9</v>
      </c>
    </row>
    <row r="3" spans="1:7">
      <c r="A3">
        <v>2</v>
      </c>
      <c r="B3" t="s">
        <v>195</v>
      </c>
      <c r="C3" t="s">
        <v>14</v>
      </c>
      <c r="D3" t="b">
        <v>1</v>
      </c>
      <c r="E3">
        <v>6</v>
      </c>
      <c r="F3">
        <v>6</v>
      </c>
    </row>
    <row r="4" spans="1:7">
      <c r="A4">
        <v>3</v>
      </c>
      <c r="B4" t="s">
        <v>195</v>
      </c>
      <c r="C4" t="s">
        <v>16</v>
      </c>
      <c r="D4" t="b">
        <v>0</v>
      </c>
      <c r="E4">
        <v>10</v>
      </c>
      <c r="F4">
        <v>0</v>
      </c>
    </row>
    <row r="5" spans="1:7">
      <c r="A5">
        <v>4</v>
      </c>
      <c r="B5" t="s">
        <v>195</v>
      </c>
      <c r="C5" t="s">
        <v>18</v>
      </c>
      <c r="D5" t="b">
        <v>0</v>
      </c>
      <c r="E5">
        <v>9</v>
      </c>
      <c r="F5">
        <v>0</v>
      </c>
    </row>
    <row r="6" spans="1:7">
      <c r="A6">
        <v>5</v>
      </c>
      <c r="B6" t="s">
        <v>195</v>
      </c>
      <c r="C6" t="s">
        <v>19</v>
      </c>
      <c r="D6" t="b">
        <v>1</v>
      </c>
      <c r="E6">
        <v>9</v>
      </c>
      <c r="F6">
        <v>9</v>
      </c>
    </row>
    <row r="7" spans="1:7">
      <c r="A7">
        <v>6</v>
      </c>
      <c r="B7" t="s">
        <v>195</v>
      </c>
      <c r="C7" t="s">
        <v>270</v>
      </c>
      <c r="D7" t="b">
        <v>1</v>
      </c>
      <c r="E7">
        <v>8</v>
      </c>
      <c r="F7">
        <v>8</v>
      </c>
    </row>
    <row r="8" spans="1:7">
      <c r="A8">
        <v>7</v>
      </c>
      <c r="B8" t="s">
        <v>195</v>
      </c>
      <c r="C8" t="s">
        <v>20</v>
      </c>
      <c r="D8" t="b">
        <v>1</v>
      </c>
      <c r="E8">
        <v>5</v>
      </c>
      <c r="F8">
        <v>5</v>
      </c>
    </row>
    <row r="9" spans="1:7">
      <c r="A9">
        <v>8</v>
      </c>
      <c r="B9" t="s">
        <v>195</v>
      </c>
      <c r="C9" t="s">
        <v>21</v>
      </c>
      <c r="D9" t="b">
        <v>1</v>
      </c>
      <c r="E9">
        <v>9</v>
      </c>
      <c r="F9">
        <v>9</v>
      </c>
    </row>
    <row r="10" spans="1:7">
      <c r="A10">
        <v>9</v>
      </c>
      <c r="B10" t="s">
        <v>195</v>
      </c>
      <c r="C10" t="s">
        <v>22</v>
      </c>
      <c r="D10" t="b">
        <v>1</v>
      </c>
      <c r="E10">
        <v>9</v>
      </c>
      <c r="F10">
        <v>9</v>
      </c>
    </row>
    <row r="11" spans="1:7">
      <c r="A11">
        <v>10</v>
      </c>
      <c r="B11" t="s">
        <v>195</v>
      </c>
      <c r="C11" t="s">
        <v>23</v>
      </c>
      <c r="D11" t="b">
        <v>1</v>
      </c>
      <c r="E11">
        <v>6</v>
      </c>
      <c r="F11">
        <v>6</v>
      </c>
    </row>
    <row r="12" spans="1:7">
      <c r="A12">
        <v>11</v>
      </c>
      <c r="B12" t="s">
        <v>195</v>
      </c>
      <c r="C12" t="s">
        <v>24</v>
      </c>
      <c r="D12" t="b">
        <v>1</v>
      </c>
      <c r="E12">
        <v>9</v>
      </c>
      <c r="F12">
        <v>9</v>
      </c>
    </row>
    <row r="13" spans="1:7">
      <c r="A13">
        <v>12</v>
      </c>
      <c r="B13" t="s">
        <v>195</v>
      </c>
      <c r="C13" t="s">
        <v>25</v>
      </c>
      <c r="D13" t="b">
        <v>1</v>
      </c>
      <c r="E13">
        <v>9</v>
      </c>
      <c r="F13">
        <v>9</v>
      </c>
    </row>
    <row r="14" spans="1:7">
      <c r="A14">
        <v>13</v>
      </c>
      <c r="B14" t="s">
        <v>195</v>
      </c>
      <c r="C14" t="s">
        <v>27</v>
      </c>
      <c r="D14" t="b">
        <v>0</v>
      </c>
      <c r="E14">
        <v>10</v>
      </c>
      <c r="F14">
        <v>0</v>
      </c>
    </row>
    <row r="15" spans="1:7">
      <c r="A15">
        <v>14</v>
      </c>
      <c r="B15" t="s">
        <v>195</v>
      </c>
      <c r="C15" t="s">
        <v>29</v>
      </c>
      <c r="D15" t="b">
        <v>0</v>
      </c>
      <c r="E15">
        <v>8</v>
      </c>
      <c r="F15">
        <v>0</v>
      </c>
    </row>
    <row r="16" spans="1:7">
      <c r="A16">
        <v>15</v>
      </c>
      <c r="B16" t="s">
        <v>195</v>
      </c>
      <c r="C16" t="s">
        <v>31</v>
      </c>
      <c r="D16" t="b">
        <v>0</v>
      </c>
      <c r="E16">
        <v>9</v>
      </c>
      <c r="F16">
        <v>0</v>
      </c>
    </row>
    <row r="17" spans="1:6">
      <c r="A17">
        <v>16</v>
      </c>
      <c r="B17" t="s">
        <v>195</v>
      </c>
      <c r="C17" t="s">
        <v>33</v>
      </c>
      <c r="D17" t="b">
        <v>1</v>
      </c>
      <c r="E17">
        <v>10</v>
      </c>
      <c r="F17">
        <v>10</v>
      </c>
    </row>
    <row r="18" spans="1:6">
      <c r="A18">
        <v>17</v>
      </c>
      <c r="B18" t="s">
        <v>195</v>
      </c>
      <c r="C18" t="s">
        <v>35</v>
      </c>
      <c r="D18" t="b">
        <v>0</v>
      </c>
      <c r="E18">
        <v>10</v>
      </c>
      <c r="F18">
        <v>0</v>
      </c>
    </row>
    <row r="19" spans="1:6">
      <c r="A19">
        <v>18</v>
      </c>
      <c r="B19" t="s">
        <v>195</v>
      </c>
      <c r="C19" t="s">
        <v>37</v>
      </c>
      <c r="D19" t="b">
        <v>0</v>
      </c>
      <c r="E19">
        <v>10</v>
      </c>
      <c r="F19">
        <v>0</v>
      </c>
    </row>
    <row r="20" spans="1:6">
      <c r="A20">
        <v>19</v>
      </c>
      <c r="B20" t="s">
        <v>195</v>
      </c>
      <c r="C20" t="s">
        <v>39</v>
      </c>
      <c r="D20" t="b">
        <v>1</v>
      </c>
      <c r="E20">
        <v>9</v>
      </c>
      <c r="F20">
        <v>9</v>
      </c>
    </row>
    <row r="21" spans="1:6">
      <c r="A21">
        <v>20</v>
      </c>
      <c r="B21" t="s">
        <v>195</v>
      </c>
      <c r="C21" t="s">
        <v>149</v>
      </c>
      <c r="D21" t="b">
        <v>0</v>
      </c>
      <c r="E21">
        <v>9</v>
      </c>
      <c r="F21">
        <v>0</v>
      </c>
    </row>
    <row r="22" spans="1:6">
      <c r="A22">
        <v>21</v>
      </c>
      <c r="B22" t="s">
        <v>195</v>
      </c>
      <c r="C22" t="s">
        <v>42</v>
      </c>
      <c r="D22" t="b">
        <v>1</v>
      </c>
      <c r="E22">
        <v>10</v>
      </c>
      <c r="F22">
        <v>10</v>
      </c>
    </row>
    <row r="23" spans="1:6">
      <c r="A23">
        <v>22</v>
      </c>
      <c r="B23" t="s">
        <v>195</v>
      </c>
      <c r="C23" t="s">
        <v>44</v>
      </c>
      <c r="D23" t="b">
        <v>1</v>
      </c>
      <c r="E23">
        <v>10</v>
      </c>
      <c r="F23">
        <v>10</v>
      </c>
    </row>
    <row r="24" spans="1:6">
      <c r="A24">
        <v>23</v>
      </c>
      <c r="B24" t="s">
        <v>195</v>
      </c>
      <c r="C24" t="s">
        <v>46</v>
      </c>
      <c r="D24" t="b">
        <v>1</v>
      </c>
      <c r="E24">
        <v>10</v>
      </c>
      <c r="F24">
        <v>10</v>
      </c>
    </row>
    <row r="25" spans="1:6">
      <c r="A25">
        <v>24</v>
      </c>
      <c r="B25" t="s">
        <v>195</v>
      </c>
      <c r="C25" t="s">
        <v>48</v>
      </c>
      <c r="D25" t="b">
        <v>1</v>
      </c>
      <c r="E25">
        <v>10</v>
      </c>
      <c r="F25">
        <v>10</v>
      </c>
    </row>
    <row r="26" spans="1:6">
      <c r="A26">
        <v>25</v>
      </c>
      <c r="B26" t="s">
        <v>195</v>
      </c>
      <c r="C26" t="s">
        <v>50</v>
      </c>
      <c r="D26" t="b">
        <v>1</v>
      </c>
      <c r="E26">
        <v>10</v>
      </c>
      <c r="F26">
        <v>10</v>
      </c>
    </row>
    <row r="27" spans="1:6">
      <c r="A27">
        <v>26</v>
      </c>
      <c r="B27" t="s">
        <v>195</v>
      </c>
      <c r="C27" t="s">
        <v>52</v>
      </c>
      <c r="D27" t="b">
        <v>1</v>
      </c>
      <c r="E27">
        <v>10</v>
      </c>
      <c r="F27">
        <v>10</v>
      </c>
    </row>
    <row r="28" spans="1:6">
      <c r="A28">
        <v>27</v>
      </c>
      <c r="B28" t="s">
        <v>195</v>
      </c>
      <c r="C28" t="s">
        <v>54</v>
      </c>
      <c r="D28" t="b">
        <v>1</v>
      </c>
      <c r="E28">
        <v>10</v>
      </c>
      <c r="F28">
        <v>10</v>
      </c>
    </row>
    <row r="29" spans="1:6">
      <c r="A29">
        <v>28</v>
      </c>
      <c r="B29" t="s">
        <v>195</v>
      </c>
      <c r="C29" t="s">
        <v>56</v>
      </c>
      <c r="D29" t="b">
        <v>0</v>
      </c>
      <c r="E29">
        <v>10</v>
      </c>
      <c r="F29">
        <v>0</v>
      </c>
    </row>
    <row r="30" spans="1:6">
      <c r="A30">
        <v>29</v>
      </c>
      <c r="B30" t="s">
        <v>195</v>
      </c>
      <c r="C30" t="s">
        <v>58</v>
      </c>
      <c r="D30" t="b">
        <v>1</v>
      </c>
      <c r="E30">
        <v>10</v>
      </c>
      <c r="F30">
        <v>10</v>
      </c>
    </row>
    <row r="31" spans="1:6">
      <c r="A31">
        <v>30</v>
      </c>
      <c r="B31" t="s">
        <v>195</v>
      </c>
      <c r="C31" t="s">
        <v>60</v>
      </c>
      <c r="D31" t="b">
        <v>1</v>
      </c>
      <c r="E31">
        <v>10</v>
      </c>
      <c r="F31">
        <v>10</v>
      </c>
    </row>
    <row r="32" spans="1:6">
      <c r="A32">
        <v>31</v>
      </c>
      <c r="B32" t="s">
        <v>195</v>
      </c>
      <c r="C32" t="s">
        <v>62</v>
      </c>
      <c r="D32" t="b">
        <v>1</v>
      </c>
      <c r="E32">
        <v>9</v>
      </c>
      <c r="F32">
        <v>9</v>
      </c>
    </row>
    <row r="33" spans="1:6">
      <c r="A33">
        <v>32</v>
      </c>
      <c r="B33" t="s">
        <v>195</v>
      </c>
      <c r="C33" t="s">
        <v>64</v>
      </c>
      <c r="D33" t="b">
        <v>1</v>
      </c>
      <c r="E33">
        <v>9</v>
      </c>
      <c r="F33">
        <v>9</v>
      </c>
    </row>
    <row r="34" spans="1:6">
      <c r="A34">
        <v>33</v>
      </c>
      <c r="B34" t="s">
        <v>195</v>
      </c>
      <c r="C34" t="s">
        <v>66</v>
      </c>
      <c r="D34" t="b">
        <v>1</v>
      </c>
      <c r="E34">
        <v>6</v>
      </c>
      <c r="F34">
        <v>6</v>
      </c>
    </row>
    <row r="35" spans="1:6">
      <c r="A35">
        <v>34</v>
      </c>
      <c r="B35" t="s">
        <v>195</v>
      </c>
      <c r="C35" t="s">
        <v>68</v>
      </c>
      <c r="D35" t="b">
        <v>1</v>
      </c>
      <c r="E35">
        <v>6</v>
      </c>
      <c r="F35">
        <v>6</v>
      </c>
    </row>
    <row r="36" spans="1:6">
      <c r="A36">
        <v>35</v>
      </c>
      <c r="B36" t="s">
        <v>195</v>
      </c>
      <c r="C36" t="s">
        <v>69</v>
      </c>
      <c r="D36" t="b">
        <v>1</v>
      </c>
      <c r="E36">
        <v>9</v>
      </c>
      <c r="F36">
        <v>9</v>
      </c>
    </row>
    <row r="37" spans="1:6">
      <c r="A37">
        <v>36</v>
      </c>
      <c r="B37" t="s">
        <v>195</v>
      </c>
      <c r="C37" t="s">
        <v>71</v>
      </c>
      <c r="D37" t="b">
        <v>1</v>
      </c>
      <c r="E37">
        <v>6</v>
      </c>
      <c r="F37">
        <v>6</v>
      </c>
    </row>
    <row r="38" spans="1:6">
      <c r="A38">
        <v>37</v>
      </c>
      <c r="B38" t="s">
        <v>195</v>
      </c>
      <c r="C38" t="s">
        <v>73</v>
      </c>
      <c r="D38" t="b">
        <v>1</v>
      </c>
      <c r="E38">
        <v>10</v>
      </c>
      <c r="F38">
        <v>10</v>
      </c>
    </row>
    <row r="39" spans="1:6">
      <c r="A39">
        <v>38</v>
      </c>
      <c r="B39" t="s">
        <v>195</v>
      </c>
      <c r="C39" t="s">
        <v>271</v>
      </c>
      <c r="D39" t="b">
        <v>1</v>
      </c>
      <c r="E39">
        <v>9</v>
      </c>
      <c r="F39">
        <v>9</v>
      </c>
    </row>
    <row r="40" spans="1:6">
      <c r="A40">
        <v>39</v>
      </c>
      <c r="B40" t="s">
        <v>195</v>
      </c>
      <c r="C40" t="s">
        <v>272</v>
      </c>
      <c r="D40" t="b">
        <v>1</v>
      </c>
      <c r="E40">
        <v>5</v>
      </c>
      <c r="F40">
        <v>5</v>
      </c>
    </row>
    <row r="41" spans="1:6">
      <c r="A41">
        <v>40</v>
      </c>
      <c r="B41" t="s">
        <v>195</v>
      </c>
      <c r="C41" t="s">
        <v>273</v>
      </c>
      <c r="D41" t="b">
        <v>1</v>
      </c>
      <c r="E41">
        <v>10</v>
      </c>
      <c r="F41">
        <v>10</v>
      </c>
    </row>
    <row r="42" spans="1:6">
      <c r="A42">
        <v>41</v>
      </c>
      <c r="B42" t="s">
        <v>195</v>
      </c>
      <c r="C42" t="s">
        <v>274</v>
      </c>
      <c r="D42" t="b">
        <v>1</v>
      </c>
      <c r="E42">
        <v>10</v>
      </c>
      <c r="F42">
        <v>10</v>
      </c>
    </row>
    <row r="43" spans="1:6">
      <c r="A43">
        <v>42</v>
      </c>
      <c r="B43" t="s">
        <v>195</v>
      </c>
      <c r="C43" t="s">
        <v>275</v>
      </c>
      <c r="D43" t="b">
        <v>1</v>
      </c>
      <c r="E43">
        <v>10</v>
      </c>
      <c r="F43">
        <v>10</v>
      </c>
    </row>
    <row r="44" spans="1:6">
      <c r="A44">
        <v>43</v>
      </c>
      <c r="B44" t="s">
        <v>195</v>
      </c>
      <c r="C44" t="s">
        <v>276</v>
      </c>
      <c r="D44" t="b">
        <v>0</v>
      </c>
      <c r="E44">
        <v>9</v>
      </c>
      <c r="F44">
        <v>0</v>
      </c>
    </row>
    <row r="45" spans="1:6">
      <c r="A45">
        <v>44</v>
      </c>
      <c r="B45" t="s">
        <v>195</v>
      </c>
      <c r="C45" t="s">
        <v>277</v>
      </c>
      <c r="D45" t="b">
        <v>0</v>
      </c>
      <c r="E45">
        <v>9</v>
      </c>
      <c r="F45">
        <v>0</v>
      </c>
    </row>
    <row r="46" spans="1:6">
      <c r="A46">
        <v>45</v>
      </c>
      <c r="B46" t="s">
        <v>195</v>
      </c>
      <c r="C46" t="s">
        <v>76</v>
      </c>
      <c r="D46" t="b">
        <v>0</v>
      </c>
      <c r="E46">
        <v>98</v>
      </c>
      <c r="F46">
        <v>79</v>
      </c>
    </row>
    <row r="47" spans="1:6">
      <c r="A47">
        <v>46</v>
      </c>
      <c r="B47" t="s">
        <v>195</v>
      </c>
      <c r="C47" t="s">
        <v>77</v>
      </c>
      <c r="D47" t="b">
        <v>0</v>
      </c>
      <c r="E47">
        <v>27</v>
      </c>
      <c r="F47">
        <v>0</v>
      </c>
    </row>
    <row r="48" spans="1:6">
      <c r="A48">
        <v>47</v>
      </c>
      <c r="B48" t="s">
        <v>195</v>
      </c>
      <c r="C48" t="s">
        <v>78</v>
      </c>
      <c r="D48" t="b">
        <v>0</v>
      </c>
      <c r="E48">
        <v>48</v>
      </c>
      <c r="F48">
        <v>19</v>
      </c>
    </row>
    <row r="49" spans="1:6">
      <c r="A49">
        <v>48</v>
      </c>
      <c r="B49" t="s">
        <v>195</v>
      </c>
      <c r="C49" t="s">
        <v>79</v>
      </c>
      <c r="D49" t="b">
        <v>0</v>
      </c>
      <c r="E49">
        <v>100</v>
      </c>
      <c r="F49">
        <v>90</v>
      </c>
    </row>
    <row r="50" spans="1:6">
      <c r="A50">
        <v>49</v>
      </c>
      <c r="B50" t="s">
        <v>195</v>
      </c>
      <c r="C50" t="s">
        <v>80</v>
      </c>
      <c r="D50" t="b">
        <v>1</v>
      </c>
      <c r="E50">
        <v>69</v>
      </c>
      <c r="F50">
        <v>69</v>
      </c>
    </row>
    <row r="51" spans="1:6">
      <c r="A51">
        <v>50</v>
      </c>
      <c r="B51" t="s">
        <v>195</v>
      </c>
      <c r="C51" t="s">
        <v>81</v>
      </c>
      <c r="D51" t="b">
        <v>0</v>
      </c>
      <c r="E51">
        <v>48</v>
      </c>
      <c r="F51">
        <v>30</v>
      </c>
    </row>
    <row r="52" spans="1:6">
      <c r="A52">
        <v>51</v>
      </c>
      <c r="B52" t="s">
        <v>195</v>
      </c>
      <c r="C52" t="s">
        <v>190</v>
      </c>
      <c r="D52" t="b">
        <v>0</v>
      </c>
      <c r="E52">
        <v>98</v>
      </c>
      <c r="F52">
        <v>79</v>
      </c>
    </row>
    <row r="53" spans="1:6">
      <c r="A53">
        <v>52</v>
      </c>
      <c r="B53" t="s">
        <v>195</v>
      </c>
      <c r="C53" t="s">
        <v>191</v>
      </c>
      <c r="D53" t="b">
        <v>0</v>
      </c>
      <c r="E53">
        <v>244</v>
      </c>
      <c r="F53">
        <v>178</v>
      </c>
    </row>
    <row r="54" spans="1:6">
      <c r="A54">
        <v>53</v>
      </c>
      <c r="B54" t="s">
        <v>195</v>
      </c>
      <c r="C54" t="s">
        <v>192</v>
      </c>
      <c r="D54" t="b">
        <v>0</v>
      </c>
      <c r="E54">
        <v>48</v>
      </c>
      <c r="F54">
        <v>30</v>
      </c>
    </row>
    <row r="55" spans="1:6">
      <c r="A55">
        <v>54</v>
      </c>
      <c r="B55" t="s">
        <v>195</v>
      </c>
      <c r="C55" t="s">
        <v>193</v>
      </c>
      <c r="D55" t="b">
        <v>0</v>
      </c>
      <c r="E55">
        <v>390</v>
      </c>
      <c r="F55">
        <v>287</v>
      </c>
    </row>
  </sheetData>
  <sheetProtection algorithmName="SHA-512" hashValue="eCK/mUK3T1OguAP6ZzrrauifXxrrVggjJd2MBMhF+OeT5FZGMu5MDnj6CGW80uZKf0crfUJKa11TUKoUz1RoNA==" saltValue="CtpguUu3ODAtfptLqSQhdA==" spinCount="100000" sheet="1" objects="1" scenarios="1" formatCells="0"/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63"/>
  <sheetViews>
    <sheetView showGridLines="0" tabSelected="1" zoomScale="70" zoomScaleNormal="70" workbookViewId="0">
      <pane xSplit="7" ySplit="15" topLeftCell="H16" activePane="bottomRight" state="frozen"/>
      <selection pane="topRight" activeCell="G1" sqref="G1"/>
      <selection pane="bottomLeft" activeCell="A13" sqref="A13"/>
      <selection pane="bottomRight" activeCell="M23" sqref="M23"/>
    </sheetView>
  </sheetViews>
  <sheetFormatPr defaultColWidth="9.26953125" defaultRowHeight="14.5" zeroHeight="1"/>
  <cols>
    <col min="1" max="1" width="6.1796875" style="5" customWidth="1"/>
    <col min="2" max="2" width="5.1796875" style="6" customWidth="1"/>
    <col min="3" max="3" width="7.6328125" style="7" customWidth="1"/>
    <col min="4" max="4" width="5.6328125" style="7" customWidth="1"/>
    <col min="5" max="5" width="33.6328125" style="74" customWidth="1"/>
    <col min="6" max="6" width="22.6328125" style="72" customWidth="1"/>
    <col min="7" max="7" width="23.6328125" style="139" customWidth="1"/>
    <col min="8" max="8" width="23.6328125" style="135" customWidth="1"/>
    <col min="9" max="16125" width="9.26953125" style="7"/>
    <col min="16126" max="16384" width="8.36328125" style="7" customWidth="1"/>
  </cols>
  <sheetData>
    <row r="1" spans="1:8" ht="24.15" customHeight="1" thickBot="1">
      <c r="A1" s="210" t="s">
        <v>200</v>
      </c>
      <c r="B1" s="211"/>
      <c r="C1" s="211"/>
      <c r="D1" s="211"/>
      <c r="E1" s="211"/>
      <c r="F1" s="211"/>
      <c r="G1" s="211"/>
      <c r="H1" s="128"/>
    </row>
    <row r="2" spans="1:8" ht="29.5" customHeight="1">
      <c r="A2" s="26"/>
      <c r="B2" s="26"/>
      <c r="C2" s="26"/>
      <c r="D2" s="26"/>
      <c r="E2" s="73"/>
      <c r="F2" s="71"/>
      <c r="G2" s="43"/>
      <c r="H2" s="129"/>
    </row>
    <row r="3" spans="1:8" s="25" customFormat="1" ht="15.4" customHeight="1" thickBot="1">
      <c r="A3" s="221"/>
      <c r="B3" s="221"/>
      <c r="C3" s="221"/>
      <c r="D3" s="221"/>
      <c r="E3" s="221"/>
      <c r="F3" s="221"/>
      <c r="G3" s="44" t="s">
        <v>114</v>
      </c>
      <c r="H3" s="130" t="s">
        <v>114</v>
      </c>
    </row>
    <row r="4" spans="1:8" s="9" customFormat="1" ht="26">
      <c r="A4" s="220"/>
      <c r="B4" s="220"/>
      <c r="C4" s="220"/>
      <c r="D4" s="220"/>
      <c r="E4" s="220"/>
      <c r="F4" s="143" t="s">
        <v>196</v>
      </c>
      <c r="G4" s="193"/>
      <c r="H4" s="182">
        <v>0.81</v>
      </c>
    </row>
    <row r="5" spans="1:8" s="9" customFormat="1" ht="26">
      <c r="A5" s="220"/>
      <c r="B5" s="220"/>
      <c r="C5" s="220"/>
      <c r="D5" s="220"/>
      <c r="E5" s="220"/>
      <c r="F5" s="143" t="s">
        <v>197</v>
      </c>
      <c r="G5" s="194"/>
      <c r="H5" s="183">
        <v>0.73</v>
      </c>
    </row>
    <row r="6" spans="1:8" s="9" customFormat="1" ht="26">
      <c r="A6" s="220"/>
      <c r="B6" s="220"/>
      <c r="C6" s="220"/>
      <c r="D6" s="220"/>
      <c r="E6" s="220"/>
      <c r="F6" s="143" t="s">
        <v>198</v>
      </c>
      <c r="G6" s="194"/>
      <c r="H6" s="183">
        <v>0.62</v>
      </c>
    </row>
    <row r="7" spans="1:8" s="9" customFormat="1" ht="26.5" thickBot="1">
      <c r="A7" s="220"/>
      <c r="B7" s="220"/>
      <c r="C7" s="220"/>
      <c r="D7" s="220"/>
      <c r="E7" s="220"/>
      <c r="F7" s="143" t="s">
        <v>199</v>
      </c>
      <c r="G7" s="195"/>
      <c r="H7" s="184">
        <v>0.74</v>
      </c>
    </row>
    <row r="8" spans="1:8" s="9" customFormat="1" ht="6" customHeight="1" thickBot="1">
      <c r="A8" s="220"/>
      <c r="B8" s="220"/>
      <c r="C8" s="220"/>
      <c r="D8" s="220"/>
      <c r="E8" s="220"/>
      <c r="F8" s="75"/>
      <c r="G8" s="136"/>
      <c r="H8" s="131"/>
    </row>
    <row r="9" spans="1:8" s="9" customFormat="1" ht="13.5" customHeight="1" thickBot="1">
      <c r="A9" s="220"/>
      <c r="B9" s="220"/>
      <c r="C9" s="220"/>
      <c r="D9" s="220"/>
      <c r="E9" s="220"/>
      <c r="F9" s="217" t="s">
        <v>3</v>
      </c>
      <c r="G9" s="218"/>
      <c r="H9" s="132" t="s">
        <v>290</v>
      </c>
    </row>
    <row r="10" spans="1:8" s="9" customFormat="1" ht="14.5" customHeight="1">
      <c r="A10" s="220"/>
      <c r="B10" s="220"/>
      <c r="C10" s="220"/>
      <c r="D10" s="220"/>
      <c r="E10" s="220"/>
      <c r="F10" s="76" t="s">
        <v>115</v>
      </c>
      <c r="G10" s="192"/>
      <c r="H10" s="45">
        <v>23508780</v>
      </c>
    </row>
    <row r="11" spans="1:8" s="9" customFormat="1" ht="13" hidden="1" customHeight="1">
      <c r="A11" s="220"/>
      <c r="B11" s="220"/>
      <c r="C11" s="220"/>
      <c r="D11" s="220"/>
      <c r="E11" s="220"/>
      <c r="F11" s="77"/>
      <c r="G11" s="141"/>
      <c r="H11" s="27"/>
    </row>
    <row r="12" spans="1:8" s="9" customFormat="1" ht="21.5" hidden="1" customHeight="1">
      <c r="A12" s="220"/>
      <c r="B12" s="220"/>
      <c r="C12" s="220"/>
      <c r="D12" s="220"/>
      <c r="E12" s="220"/>
      <c r="F12" s="77"/>
      <c r="G12" s="141"/>
      <c r="H12" s="28"/>
    </row>
    <row r="13" spans="1:8" s="9" customFormat="1" ht="4" hidden="1" customHeight="1" thickBot="1">
      <c r="A13" s="220"/>
      <c r="B13" s="220"/>
      <c r="C13" s="220"/>
      <c r="D13" s="220"/>
      <c r="E13" s="220"/>
      <c r="F13" s="78"/>
      <c r="G13" s="142"/>
      <c r="H13" s="29"/>
    </row>
    <row r="14" spans="1:8" s="9" customFormat="1" ht="8.5" customHeight="1" thickBot="1">
      <c r="A14" s="219"/>
      <c r="B14" s="220"/>
      <c r="C14" s="220"/>
      <c r="D14" s="220"/>
      <c r="E14" s="220"/>
      <c r="F14" s="220"/>
      <c r="G14" s="137"/>
      <c r="H14" s="133"/>
    </row>
    <row r="15" spans="1:8" s="8" customFormat="1" ht="27" customHeight="1" thickBot="1">
      <c r="A15" s="214" t="s">
        <v>116</v>
      </c>
      <c r="B15" s="215"/>
      <c r="C15" s="216"/>
      <c r="D15" s="70" t="s">
        <v>1</v>
      </c>
      <c r="E15" s="212" t="s">
        <v>110</v>
      </c>
      <c r="F15" s="213"/>
      <c r="G15" s="70" t="s">
        <v>103</v>
      </c>
      <c r="H15" s="134" t="s">
        <v>291</v>
      </c>
    </row>
    <row r="16" spans="1:8" s="11" customFormat="1" ht="15" customHeight="1">
      <c r="A16" s="222" t="s">
        <v>201</v>
      </c>
      <c r="B16" s="223" t="s">
        <v>76</v>
      </c>
      <c r="C16" s="198" t="s">
        <v>202</v>
      </c>
      <c r="D16" s="144">
        <v>1</v>
      </c>
      <c r="E16" s="209" t="s">
        <v>287</v>
      </c>
      <c r="F16" s="207"/>
      <c r="G16" s="189"/>
      <c r="H16" s="186" t="s">
        <v>0</v>
      </c>
    </row>
    <row r="17" spans="1:8" s="11" customFormat="1" ht="15" customHeight="1">
      <c r="A17" s="222"/>
      <c r="B17" s="223"/>
      <c r="C17" s="198"/>
      <c r="D17" s="144">
        <v>2</v>
      </c>
      <c r="E17" s="209" t="s">
        <v>204</v>
      </c>
      <c r="F17" s="207"/>
      <c r="G17" s="190"/>
      <c r="H17" s="187" t="s">
        <v>0</v>
      </c>
    </row>
    <row r="18" spans="1:8" s="11" customFormat="1" ht="15" customHeight="1">
      <c r="A18" s="222"/>
      <c r="B18" s="223"/>
      <c r="C18" s="198"/>
      <c r="D18" s="144">
        <v>3</v>
      </c>
      <c r="E18" s="209" t="s">
        <v>205</v>
      </c>
      <c r="F18" s="207"/>
      <c r="G18" s="190"/>
      <c r="H18" s="187" t="s">
        <v>2</v>
      </c>
    </row>
    <row r="19" spans="1:8" s="11" customFormat="1" ht="30" customHeight="1">
      <c r="A19" s="222"/>
      <c r="B19" s="223"/>
      <c r="C19" s="198"/>
      <c r="D19" s="144">
        <v>4</v>
      </c>
      <c r="E19" s="209" t="s">
        <v>206</v>
      </c>
      <c r="F19" s="207"/>
      <c r="G19" s="190"/>
      <c r="H19" s="187" t="s">
        <v>2</v>
      </c>
    </row>
    <row r="20" spans="1:8" s="11" customFormat="1" ht="15" customHeight="1">
      <c r="A20" s="222"/>
      <c r="B20" s="223"/>
      <c r="C20" s="198"/>
      <c r="D20" s="144">
        <v>5</v>
      </c>
      <c r="E20" s="209" t="s">
        <v>207</v>
      </c>
      <c r="F20" s="207"/>
      <c r="G20" s="190"/>
      <c r="H20" s="187" t="s">
        <v>0</v>
      </c>
    </row>
    <row r="21" spans="1:8" s="11" customFormat="1" ht="30" customHeight="1">
      <c r="A21" s="222"/>
      <c r="B21" s="223"/>
      <c r="C21" s="198"/>
      <c r="D21" s="144">
        <v>6</v>
      </c>
      <c r="E21" s="209" t="s">
        <v>208</v>
      </c>
      <c r="F21" s="207"/>
      <c r="G21" s="190"/>
      <c r="H21" s="187" t="s">
        <v>0</v>
      </c>
    </row>
    <row r="22" spans="1:8" s="11" customFormat="1" ht="15" customHeight="1">
      <c r="A22" s="222"/>
      <c r="B22" s="223"/>
      <c r="C22" s="198"/>
      <c r="D22" s="144">
        <v>7</v>
      </c>
      <c r="E22" s="209" t="s">
        <v>209</v>
      </c>
      <c r="F22" s="207"/>
      <c r="G22" s="190"/>
      <c r="H22" s="187" t="s">
        <v>95</v>
      </c>
    </row>
    <row r="23" spans="1:8" s="11" customFormat="1" ht="30" customHeight="1">
      <c r="A23" s="222"/>
      <c r="B23" s="223"/>
      <c r="C23" s="198"/>
      <c r="D23" s="144">
        <v>8</v>
      </c>
      <c r="E23" s="209" t="s">
        <v>210</v>
      </c>
      <c r="F23" s="207"/>
      <c r="G23" s="190"/>
      <c r="H23" s="187" t="s">
        <v>0</v>
      </c>
    </row>
    <row r="24" spans="1:8" s="11" customFormat="1" ht="30" customHeight="1">
      <c r="A24" s="222"/>
      <c r="B24" s="223"/>
      <c r="C24" s="198"/>
      <c r="D24" s="144">
        <v>9</v>
      </c>
      <c r="E24" s="209" t="s">
        <v>211</v>
      </c>
      <c r="F24" s="207"/>
      <c r="G24" s="190"/>
      <c r="H24" s="187" t="s">
        <v>0</v>
      </c>
    </row>
    <row r="25" spans="1:8" s="11" customFormat="1" ht="15" customHeight="1">
      <c r="A25" s="222"/>
      <c r="B25" s="223"/>
      <c r="C25" s="198"/>
      <c r="D25" s="144">
        <v>10</v>
      </c>
      <c r="E25" s="209" t="s">
        <v>212</v>
      </c>
      <c r="F25" s="207"/>
      <c r="G25" s="190"/>
      <c r="H25" s="187" t="s">
        <v>2</v>
      </c>
    </row>
    <row r="26" spans="1:8" s="11" customFormat="1" ht="15" customHeight="1">
      <c r="A26" s="222"/>
      <c r="B26" s="223"/>
      <c r="C26" s="198"/>
      <c r="D26" s="144">
        <v>11</v>
      </c>
      <c r="E26" s="209" t="s">
        <v>288</v>
      </c>
      <c r="F26" s="207"/>
      <c r="G26" s="190"/>
      <c r="H26" s="187" t="s">
        <v>0</v>
      </c>
    </row>
    <row r="27" spans="1:8" s="11" customFormat="1" ht="30" customHeight="1" thickBot="1">
      <c r="A27" s="222"/>
      <c r="B27" s="223"/>
      <c r="C27" s="198"/>
      <c r="D27" s="144">
        <v>12</v>
      </c>
      <c r="E27" s="209" t="s">
        <v>289</v>
      </c>
      <c r="F27" s="207"/>
      <c r="G27" s="191"/>
      <c r="H27" s="188" t="s">
        <v>95</v>
      </c>
    </row>
    <row r="28" spans="1:8" s="11" customFormat="1" ht="30" customHeight="1">
      <c r="A28" s="196" t="s">
        <v>215</v>
      </c>
      <c r="B28" s="197" t="s">
        <v>77</v>
      </c>
      <c r="C28" s="198" t="s">
        <v>216</v>
      </c>
      <c r="D28" s="144">
        <v>13</v>
      </c>
      <c r="E28" s="207" t="s">
        <v>217</v>
      </c>
      <c r="F28" s="208"/>
      <c r="G28" s="189"/>
      <c r="H28" s="186" t="s">
        <v>2</v>
      </c>
    </row>
    <row r="29" spans="1:8" s="11" customFormat="1" ht="15" customHeight="1">
      <c r="A29" s="196"/>
      <c r="B29" s="197"/>
      <c r="C29" s="198"/>
      <c r="D29" s="144">
        <v>14</v>
      </c>
      <c r="E29" s="207" t="s">
        <v>218</v>
      </c>
      <c r="F29" s="208"/>
      <c r="G29" s="190"/>
      <c r="H29" s="187" t="s">
        <v>2</v>
      </c>
    </row>
    <row r="30" spans="1:8" s="11" customFormat="1" ht="60" customHeight="1" thickBot="1">
      <c r="A30" s="196"/>
      <c r="B30" s="197"/>
      <c r="C30" s="198"/>
      <c r="D30" s="144">
        <v>15</v>
      </c>
      <c r="E30" s="207" t="s">
        <v>219</v>
      </c>
      <c r="F30" s="208"/>
      <c r="G30" s="191"/>
      <c r="H30" s="188" t="s">
        <v>2</v>
      </c>
    </row>
    <row r="31" spans="1:8" s="11" customFormat="1" ht="15" customHeight="1">
      <c r="A31" s="196"/>
      <c r="B31" s="199" t="s">
        <v>78</v>
      </c>
      <c r="C31" s="198" t="s">
        <v>220</v>
      </c>
      <c r="D31" s="144">
        <v>16</v>
      </c>
      <c r="E31" s="207" t="s">
        <v>221</v>
      </c>
      <c r="F31" s="208"/>
      <c r="G31" s="189"/>
      <c r="H31" s="186" t="s">
        <v>0</v>
      </c>
    </row>
    <row r="32" spans="1:8" s="11" customFormat="1" ht="15" customHeight="1">
      <c r="A32" s="196"/>
      <c r="B32" s="199"/>
      <c r="C32" s="198"/>
      <c r="D32" s="144">
        <v>17</v>
      </c>
      <c r="E32" s="207" t="s">
        <v>222</v>
      </c>
      <c r="F32" s="208"/>
      <c r="G32" s="190"/>
      <c r="H32" s="187" t="s">
        <v>2</v>
      </c>
    </row>
    <row r="33" spans="1:8" s="11" customFormat="1" ht="30" customHeight="1">
      <c r="A33" s="196"/>
      <c r="B33" s="199"/>
      <c r="C33" s="198"/>
      <c r="D33" s="144">
        <v>18</v>
      </c>
      <c r="E33" s="207" t="s">
        <v>223</v>
      </c>
      <c r="F33" s="208"/>
      <c r="G33" s="190"/>
      <c r="H33" s="187" t="s">
        <v>2</v>
      </c>
    </row>
    <row r="34" spans="1:8" s="11" customFormat="1" ht="15" customHeight="1">
      <c r="A34" s="196"/>
      <c r="B34" s="199"/>
      <c r="C34" s="198"/>
      <c r="D34" s="144">
        <v>19</v>
      </c>
      <c r="E34" s="207" t="s">
        <v>224</v>
      </c>
      <c r="F34" s="208"/>
      <c r="G34" s="190"/>
      <c r="H34" s="187" t="s">
        <v>0</v>
      </c>
    </row>
    <row r="35" spans="1:8" s="11" customFormat="1" ht="15" customHeight="1" thickBot="1">
      <c r="A35" s="196"/>
      <c r="B35" s="199"/>
      <c r="C35" s="198"/>
      <c r="D35" s="144">
        <v>20</v>
      </c>
      <c r="E35" s="207" t="s">
        <v>225</v>
      </c>
      <c r="F35" s="208"/>
      <c r="G35" s="191"/>
      <c r="H35" s="188" t="s">
        <v>2</v>
      </c>
    </row>
    <row r="36" spans="1:8" s="11" customFormat="1" ht="15" customHeight="1">
      <c r="A36" s="196"/>
      <c r="B36" s="200" t="s">
        <v>79</v>
      </c>
      <c r="C36" s="198" t="s">
        <v>226</v>
      </c>
      <c r="D36" s="144">
        <v>21</v>
      </c>
      <c r="E36" s="207" t="s">
        <v>227</v>
      </c>
      <c r="F36" s="208"/>
      <c r="G36" s="189"/>
      <c r="H36" s="186" t="s">
        <v>95</v>
      </c>
    </row>
    <row r="37" spans="1:8" s="11" customFormat="1" ht="30" customHeight="1">
      <c r="A37" s="196"/>
      <c r="B37" s="200"/>
      <c r="C37" s="198"/>
      <c r="D37" s="144">
        <v>22</v>
      </c>
      <c r="E37" s="207" t="s">
        <v>228</v>
      </c>
      <c r="F37" s="208"/>
      <c r="G37" s="190"/>
      <c r="H37" s="187" t="s">
        <v>95</v>
      </c>
    </row>
    <row r="38" spans="1:8" s="11" customFormat="1" ht="15" customHeight="1">
      <c r="A38" s="196"/>
      <c r="B38" s="200"/>
      <c r="C38" s="198"/>
      <c r="D38" s="144">
        <v>23</v>
      </c>
      <c r="E38" s="207" t="s">
        <v>229</v>
      </c>
      <c r="F38" s="208"/>
      <c r="G38" s="190"/>
      <c r="H38" s="187" t="s">
        <v>0</v>
      </c>
    </row>
    <row r="39" spans="1:8" s="11" customFormat="1" ht="15" customHeight="1">
      <c r="A39" s="196"/>
      <c r="B39" s="200"/>
      <c r="C39" s="198"/>
      <c r="D39" s="144">
        <v>24</v>
      </c>
      <c r="E39" s="207" t="s">
        <v>230</v>
      </c>
      <c r="F39" s="208"/>
      <c r="G39" s="190"/>
      <c r="H39" s="187" t="s">
        <v>0</v>
      </c>
    </row>
    <row r="40" spans="1:8" s="11" customFormat="1" ht="15" customHeight="1">
      <c r="A40" s="196"/>
      <c r="B40" s="200"/>
      <c r="C40" s="198"/>
      <c r="D40" s="144">
        <v>25</v>
      </c>
      <c r="E40" s="207" t="s">
        <v>231</v>
      </c>
      <c r="F40" s="208"/>
      <c r="G40" s="190"/>
      <c r="H40" s="187" t="s">
        <v>0</v>
      </c>
    </row>
    <row r="41" spans="1:8" s="11" customFormat="1" ht="30" customHeight="1">
      <c r="A41" s="196"/>
      <c r="B41" s="200"/>
      <c r="C41" s="198"/>
      <c r="D41" s="144">
        <v>26</v>
      </c>
      <c r="E41" s="207" t="s">
        <v>232</v>
      </c>
      <c r="F41" s="208"/>
      <c r="G41" s="190"/>
      <c r="H41" s="187" t="s">
        <v>0</v>
      </c>
    </row>
    <row r="42" spans="1:8" s="11" customFormat="1" ht="15" customHeight="1">
      <c r="A42" s="196"/>
      <c r="B42" s="200"/>
      <c r="C42" s="198"/>
      <c r="D42" s="144">
        <v>27</v>
      </c>
      <c r="E42" s="207" t="s">
        <v>233</v>
      </c>
      <c r="F42" s="208"/>
      <c r="G42" s="190"/>
      <c r="H42" s="187" t="s">
        <v>0</v>
      </c>
    </row>
    <row r="43" spans="1:8" s="11" customFormat="1" ht="30" customHeight="1">
      <c r="A43" s="196"/>
      <c r="B43" s="200"/>
      <c r="C43" s="198"/>
      <c r="D43" s="144">
        <v>28</v>
      </c>
      <c r="E43" s="207" t="s">
        <v>234</v>
      </c>
      <c r="F43" s="208"/>
      <c r="G43" s="190"/>
      <c r="H43" s="187" t="s">
        <v>2</v>
      </c>
    </row>
    <row r="44" spans="1:8" s="11" customFormat="1" ht="30" customHeight="1">
      <c r="A44" s="196"/>
      <c r="B44" s="200"/>
      <c r="C44" s="198"/>
      <c r="D44" s="144">
        <v>29</v>
      </c>
      <c r="E44" s="207" t="s">
        <v>235</v>
      </c>
      <c r="F44" s="208"/>
      <c r="G44" s="190"/>
      <c r="H44" s="187" t="s">
        <v>0</v>
      </c>
    </row>
    <row r="45" spans="1:8" s="11" customFormat="1" ht="30" customHeight="1" thickBot="1">
      <c r="A45" s="196"/>
      <c r="B45" s="200"/>
      <c r="C45" s="198"/>
      <c r="D45" s="144">
        <v>30</v>
      </c>
      <c r="E45" s="207" t="s">
        <v>236</v>
      </c>
      <c r="F45" s="208"/>
      <c r="G45" s="191"/>
      <c r="H45" s="188" t="s">
        <v>0</v>
      </c>
    </row>
    <row r="46" spans="1:8" s="11" customFormat="1" ht="45" customHeight="1">
      <c r="A46" s="196"/>
      <c r="B46" s="201" t="s">
        <v>80</v>
      </c>
      <c r="C46" s="204" t="s">
        <v>237</v>
      </c>
      <c r="D46" s="144">
        <v>31</v>
      </c>
      <c r="E46" s="207" t="s">
        <v>238</v>
      </c>
      <c r="F46" s="208"/>
      <c r="G46" s="189"/>
      <c r="H46" s="186" t="s">
        <v>0</v>
      </c>
    </row>
    <row r="47" spans="1:8" s="11" customFormat="1" ht="30" customHeight="1">
      <c r="A47" s="196"/>
      <c r="B47" s="202"/>
      <c r="C47" s="205"/>
      <c r="D47" s="144">
        <v>32</v>
      </c>
      <c r="E47" s="207" t="s">
        <v>239</v>
      </c>
      <c r="F47" s="208"/>
      <c r="G47" s="190"/>
      <c r="H47" s="187" t="s">
        <v>0</v>
      </c>
    </row>
    <row r="48" spans="1:8" s="11" customFormat="1" ht="15" customHeight="1">
      <c r="A48" s="196"/>
      <c r="B48" s="202"/>
      <c r="C48" s="205"/>
      <c r="D48" s="144">
        <v>33</v>
      </c>
      <c r="E48" s="207" t="s">
        <v>240</v>
      </c>
      <c r="F48" s="208"/>
      <c r="G48" s="190"/>
      <c r="H48" s="187" t="s">
        <v>2</v>
      </c>
    </row>
    <row r="49" spans="1:8" s="11" customFormat="1" ht="30" customHeight="1">
      <c r="A49" s="196"/>
      <c r="B49" s="202"/>
      <c r="C49" s="205"/>
      <c r="D49" s="144">
        <v>34</v>
      </c>
      <c r="E49" s="209" t="s">
        <v>241</v>
      </c>
      <c r="F49" s="207"/>
      <c r="G49" s="190"/>
      <c r="H49" s="187" t="s">
        <v>2</v>
      </c>
    </row>
    <row r="50" spans="1:8" s="11" customFormat="1" ht="30" customHeight="1">
      <c r="A50" s="196"/>
      <c r="B50" s="202"/>
      <c r="C50" s="205"/>
      <c r="D50" s="144">
        <v>35</v>
      </c>
      <c r="E50" s="207" t="s">
        <v>242</v>
      </c>
      <c r="F50" s="208"/>
      <c r="G50" s="190"/>
      <c r="H50" s="187" t="s">
        <v>0</v>
      </c>
    </row>
    <row r="51" spans="1:8" s="11" customFormat="1" ht="30" customHeight="1">
      <c r="A51" s="196"/>
      <c r="B51" s="202"/>
      <c r="C51" s="205"/>
      <c r="D51" s="144">
        <v>36</v>
      </c>
      <c r="E51" s="207" t="s">
        <v>243</v>
      </c>
      <c r="F51" s="208"/>
      <c r="G51" s="190"/>
      <c r="H51" s="187" t="s">
        <v>2</v>
      </c>
    </row>
    <row r="52" spans="1:8" s="11" customFormat="1" ht="15" customHeight="1">
      <c r="A52" s="196"/>
      <c r="B52" s="202"/>
      <c r="C52" s="205"/>
      <c r="D52" s="144">
        <v>37</v>
      </c>
      <c r="E52" s="207" t="s">
        <v>244</v>
      </c>
      <c r="F52" s="208"/>
      <c r="G52" s="190"/>
      <c r="H52" s="187" t="s">
        <v>0</v>
      </c>
    </row>
    <row r="53" spans="1:8" s="11" customFormat="1" ht="30" customHeight="1">
      <c r="A53" s="196"/>
      <c r="B53" s="202"/>
      <c r="C53" s="205"/>
      <c r="D53" s="144">
        <v>38</v>
      </c>
      <c r="E53" s="207" t="s">
        <v>245</v>
      </c>
      <c r="F53" s="208"/>
      <c r="G53" s="190"/>
      <c r="H53" s="187" t="s">
        <v>0</v>
      </c>
    </row>
    <row r="54" spans="1:8" s="11" customFormat="1" ht="30" customHeight="1" thickBot="1">
      <c r="A54" s="196"/>
      <c r="B54" s="203"/>
      <c r="C54" s="206"/>
      <c r="D54" s="144">
        <v>39</v>
      </c>
      <c r="E54" s="207" t="s">
        <v>246</v>
      </c>
      <c r="F54" s="208"/>
      <c r="G54" s="191"/>
      <c r="H54" s="188" t="s">
        <v>0</v>
      </c>
    </row>
    <row r="55" spans="1:8" s="11" customFormat="1" ht="15" customHeight="1">
      <c r="A55" s="224" t="s">
        <v>247</v>
      </c>
      <c r="B55" s="225" t="s">
        <v>81</v>
      </c>
      <c r="C55" s="198" t="s">
        <v>247</v>
      </c>
      <c r="D55" s="144">
        <v>40</v>
      </c>
      <c r="E55" s="209" t="s">
        <v>248</v>
      </c>
      <c r="F55" s="207"/>
      <c r="G55" s="189"/>
      <c r="H55" s="186" t="s">
        <v>0</v>
      </c>
    </row>
    <row r="56" spans="1:8" s="11" customFormat="1" ht="15" customHeight="1">
      <c r="A56" s="224"/>
      <c r="B56" s="225"/>
      <c r="C56" s="198"/>
      <c r="D56" s="144">
        <v>41</v>
      </c>
      <c r="E56" s="209" t="s">
        <v>249</v>
      </c>
      <c r="F56" s="207"/>
      <c r="G56" s="190"/>
      <c r="H56" s="187" t="s">
        <v>0</v>
      </c>
    </row>
    <row r="57" spans="1:8" s="11" customFormat="1" ht="30" customHeight="1">
      <c r="A57" s="224"/>
      <c r="B57" s="225"/>
      <c r="C57" s="198"/>
      <c r="D57" s="144">
        <v>42</v>
      </c>
      <c r="E57" s="209" t="s">
        <v>250</v>
      </c>
      <c r="F57" s="207"/>
      <c r="G57" s="190"/>
      <c r="H57" s="187" t="s">
        <v>0</v>
      </c>
    </row>
    <row r="58" spans="1:8" s="11" customFormat="1" ht="45" customHeight="1">
      <c r="A58" s="224"/>
      <c r="B58" s="225"/>
      <c r="C58" s="198"/>
      <c r="D58" s="144">
        <v>43</v>
      </c>
      <c r="E58" s="209" t="s">
        <v>251</v>
      </c>
      <c r="F58" s="207"/>
      <c r="G58" s="190"/>
      <c r="H58" s="187" t="s">
        <v>2</v>
      </c>
    </row>
    <row r="59" spans="1:8" s="11" customFormat="1" ht="15" customHeight="1" thickBot="1">
      <c r="A59" s="224"/>
      <c r="B59" s="225"/>
      <c r="C59" s="198"/>
      <c r="D59" s="144">
        <v>44</v>
      </c>
      <c r="E59" s="209" t="s">
        <v>252</v>
      </c>
      <c r="F59" s="207"/>
      <c r="G59" s="191"/>
      <c r="H59" s="188" t="s">
        <v>2</v>
      </c>
    </row>
    <row r="60" spans="1:8" s="11" customFormat="1">
      <c r="A60" s="5"/>
      <c r="B60" s="6"/>
      <c r="C60" s="102"/>
      <c r="D60" s="7"/>
      <c r="E60" s="74"/>
      <c r="F60" s="72"/>
      <c r="G60" s="138"/>
      <c r="H60" s="135"/>
    </row>
    <row r="61" spans="1:8" s="11" customFormat="1">
      <c r="A61" s="5"/>
      <c r="B61" s="6"/>
      <c r="C61" s="102"/>
      <c r="D61" s="7"/>
      <c r="E61" s="74"/>
      <c r="F61" s="72"/>
      <c r="G61" s="138"/>
      <c r="H61" s="135"/>
    </row>
    <row r="62" spans="1:8" s="11" customFormat="1">
      <c r="A62" s="5"/>
      <c r="B62" s="6"/>
      <c r="C62" s="102"/>
      <c r="D62" s="7"/>
      <c r="E62" s="74"/>
      <c r="F62" s="72"/>
      <c r="G62" s="138"/>
      <c r="H62" s="135"/>
    </row>
    <row r="63" spans="1:8" s="10" customFormat="1">
      <c r="A63" s="5"/>
      <c r="B63" s="6"/>
      <c r="C63" s="7"/>
      <c r="D63" s="7"/>
      <c r="E63" s="74"/>
      <c r="F63" s="72"/>
      <c r="G63" s="139"/>
      <c r="H63" s="135"/>
    </row>
  </sheetData>
  <sheetProtection algorithmName="SHA-512" hashValue="3DhBfCeko/zyHQvXpLyuwMBDzHy4Ney17214LJtsjPaWysE+yiive3qsw+gHObaIG2rcyf4dZFvCFeRvMHDJsQ==" saltValue="TkR9K5Cj9YdnTLxeaWuhDQ==" spinCount="100000" sheet="1" objects="1" scenarios="1" formatCells="0"/>
  <mergeCells count="66">
    <mergeCell ref="E55:F55"/>
    <mergeCell ref="E34:F34"/>
    <mergeCell ref="E52:F52"/>
    <mergeCell ref="A16:A27"/>
    <mergeCell ref="B16:B27"/>
    <mergeCell ref="A55:A59"/>
    <mergeCell ref="B55:B59"/>
    <mergeCell ref="E25:F25"/>
    <mergeCell ref="E26:F26"/>
    <mergeCell ref="E27:F27"/>
    <mergeCell ref="E29:F29"/>
    <mergeCell ref="E30:F30"/>
    <mergeCell ref="E56:F56"/>
    <mergeCell ref="E57:F57"/>
    <mergeCell ref="E44:F44"/>
    <mergeCell ref="E22:F22"/>
    <mergeCell ref="E53:F53"/>
    <mergeCell ref="E43:F43"/>
    <mergeCell ref="E31:F31"/>
    <mergeCell ref="E32:F32"/>
    <mergeCell ref="E35:F35"/>
    <mergeCell ref="E46:F46"/>
    <mergeCell ref="E48:F48"/>
    <mergeCell ref="E45:F45"/>
    <mergeCell ref="E50:F50"/>
    <mergeCell ref="A1:G1"/>
    <mergeCell ref="E15:F15"/>
    <mergeCell ref="A15:C15"/>
    <mergeCell ref="E41:F41"/>
    <mergeCell ref="E42:F42"/>
    <mergeCell ref="E36:F36"/>
    <mergeCell ref="E37:F37"/>
    <mergeCell ref="E38:F38"/>
    <mergeCell ref="E39:F39"/>
    <mergeCell ref="E40:F40"/>
    <mergeCell ref="F9:G9"/>
    <mergeCell ref="A14:F14"/>
    <mergeCell ref="A3:F3"/>
    <mergeCell ref="A4:E13"/>
    <mergeCell ref="E20:F20"/>
    <mergeCell ref="E16:F16"/>
    <mergeCell ref="E28:F28"/>
    <mergeCell ref="E19:F19"/>
    <mergeCell ref="C55:C59"/>
    <mergeCell ref="E58:F58"/>
    <mergeCell ref="E59:F59"/>
    <mergeCell ref="C16:C27"/>
    <mergeCell ref="E21:F21"/>
    <mergeCell ref="E23:F23"/>
    <mergeCell ref="E24:F24"/>
    <mergeCell ref="E51:F51"/>
    <mergeCell ref="E33:F33"/>
    <mergeCell ref="E47:F47"/>
    <mergeCell ref="E49:F49"/>
    <mergeCell ref="E54:F54"/>
    <mergeCell ref="E17:F17"/>
    <mergeCell ref="E18:F18"/>
    <mergeCell ref="A28:A54"/>
    <mergeCell ref="B28:B30"/>
    <mergeCell ref="C28:C30"/>
    <mergeCell ref="B31:B35"/>
    <mergeCell ref="C31:C35"/>
    <mergeCell ref="B36:B45"/>
    <mergeCell ref="C36:C45"/>
    <mergeCell ref="B46:B54"/>
    <mergeCell ref="C46:C54"/>
  </mergeCells>
  <phoneticPr fontId="5" type="noConversion"/>
  <dataValidations count="3">
    <dataValidation type="list" allowBlank="1" showInputMessage="1" showErrorMessage="1" errorTitle="Invalid Input" error="The value of input must be one of given values." sqref="G12">
      <formula1>INDIRECT("ListOfDiseases")</formula1>
    </dataValidation>
    <dataValidation type="list" allowBlank="1" showInputMessage="1" showErrorMessage="1" errorTitle="Invalid Input" error="The value of input must be one of given values." sqref="G13">
      <formula1>INDIRECT("Model")</formula1>
    </dataValidation>
    <dataValidation type="list" allowBlank="1" showInputMessage="1" showErrorMessage="1" errorTitle="Invalid Input" error="The value of input must be one of given values." sqref="G16:G63">
      <formula1>INDIRECT("item"&amp;$D16)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8" r:id="rId4" name="ComboBox1">
          <controlPr defaultSize="0" autoLine="0" r:id="rId5">
            <anchor>
              <from>
                <xdr:col>5</xdr:col>
                <xdr:colOff>1149350</xdr:colOff>
                <xdr:row>1</xdr:row>
                <xdr:rowOff>25400</xdr:rowOff>
              </from>
              <to>
                <xdr:col>6</xdr:col>
                <xdr:colOff>711200</xdr:colOff>
                <xdr:row>1</xdr:row>
                <xdr:rowOff>311150</xdr:rowOff>
              </to>
            </anchor>
          </controlPr>
        </control>
      </mc:Choice>
      <mc:Fallback>
        <control shapeId="3178" r:id="rId4" name="ComboBox1"/>
      </mc:Fallback>
    </mc:AlternateContent>
    <mc:AlternateContent xmlns:mc="http://schemas.openxmlformats.org/markup-compatibility/2006">
      <mc:Choice Requires="x14">
        <control shapeId="3149" r:id="rId6" name="CommandButton1">
          <controlPr defaultSize="0" autoFill="0" autoLine="0" r:id="rId7">
            <anchor>
              <from>
                <xdr:col>0</xdr:col>
                <xdr:colOff>63500</xdr:colOff>
                <xdr:row>1</xdr:row>
                <xdr:rowOff>25400</xdr:rowOff>
              </from>
              <to>
                <xdr:col>2</xdr:col>
                <xdr:colOff>425450</xdr:colOff>
                <xdr:row>1</xdr:row>
                <xdr:rowOff>311150</xdr:rowOff>
              </to>
            </anchor>
          </controlPr>
        </control>
      </mc:Choice>
      <mc:Fallback>
        <control shapeId="3149" r:id="rId6" name="CommandButton1"/>
      </mc:Fallback>
    </mc:AlternateContent>
    <mc:AlternateContent xmlns:mc="http://schemas.openxmlformats.org/markup-compatibility/2006">
      <mc:Choice Requires="x14">
        <control shapeId="3151" r:id="rId8" name="CommandButton2">
          <controlPr defaultSize="0" disabled="1" autoFill="0" autoLine="0" r:id="rId9">
            <anchor>
              <from>
                <xdr:col>2</xdr:col>
                <xdr:colOff>514350</xdr:colOff>
                <xdr:row>1</xdr:row>
                <xdr:rowOff>25400</xdr:rowOff>
              </from>
              <to>
                <xdr:col>4</xdr:col>
                <xdr:colOff>742950</xdr:colOff>
                <xdr:row>1</xdr:row>
                <xdr:rowOff>311150</xdr:rowOff>
              </to>
            </anchor>
          </controlPr>
        </control>
      </mc:Choice>
      <mc:Fallback>
        <control shapeId="3151" r:id="rId8" name="CommandButton2"/>
      </mc:Fallback>
    </mc:AlternateContent>
    <mc:AlternateContent xmlns:mc="http://schemas.openxmlformats.org/markup-compatibility/2006">
      <mc:Choice Requires="x14">
        <control shapeId="3152" r:id="rId10" name="CommandButton3">
          <controlPr defaultSize="0" disabled="1" autoFill="0" autoLine="0" r:id="rId11">
            <anchor>
              <from>
                <xdr:col>4</xdr:col>
                <xdr:colOff>831850</xdr:colOff>
                <xdr:row>1</xdr:row>
                <xdr:rowOff>25400</xdr:rowOff>
              </from>
              <to>
                <xdr:col>4</xdr:col>
                <xdr:colOff>1987550</xdr:colOff>
                <xdr:row>1</xdr:row>
                <xdr:rowOff>311150</xdr:rowOff>
              </to>
            </anchor>
          </controlPr>
        </control>
      </mc:Choice>
      <mc:Fallback>
        <control shapeId="3152" r:id="rId10" name="CommandButton3"/>
      </mc:Fallback>
    </mc:AlternateContent>
    <mc:AlternateContent xmlns:mc="http://schemas.openxmlformats.org/markup-compatibility/2006">
      <mc:Choice Requires="x14">
        <control shapeId="3153" r:id="rId12" name="CommandButton4">
          <controlPr defaultSize="0" autoFill="0" autoLine="0" r:id="rId13">
            <anchor>
              <from>
                <xdr:col>4</xdr:col>
                <xdr:colOff>2076450</xdr:colOff>
                <xdr:row>1</xdr:row>
                <xdr:rowOff>25400</xdr:rowOff>
              </from>
              <to>
                <xdr:col>5</xdr:col>
                <xdr:colOff>1060450</xdr:colOff>
                <xdr:row>1</xdr:row>
                <xdr:rowOff>311150</xdr:rowOff>
              </to>
            </anchor>
          </controlPr>
        </control>
      </mc:Choice>
      <mc:Fallback>
        <control shapeId="3153" r:id="rId12" name="CommandButton4"/>
      </mc:Fallback>
    </mc:AlternateContent>
    <mc:AlternateContent xmlns:mc="http://schemas.openxmlformats.org/markup-compatibility/2006">
      <mc:Choice Requires="x14">
        <control shapeId="3199" r:id="rId14" name="CommandButton5">
          <controlPr defaultSize="0" autoFill="0" autoLine="0" r:id="rId15">
            <anchor>
              <from>
                <xdr:col>6</xdr:col>
                <xdr:colOff>800100</xdr:colOff>
                <xdr:row>1</xdr:row>
                <xdr:rowOff>25400</xdr:rowOff>
              </from>
              <to>
                <xdr:col>6</xdr:col>
                <xdr:colOff>1181100</xdr:colOff>
                <xdr:row>1</xdr:row>
                <xdr:rowOff>311150</xdr:rowOff>
              </to>
            </anchor>
          </controlPr>
        </control>
      </mc:Choice>
      <mc:Fallback>
        <control shapeId="3199" r:id="rId14" name="CommandButton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55"/>
  <sheetViews>
    <sheetView workbookViewId="0">
      <pane ySplit="1" topLeftCell="A2" activePane="bottomLeft" state="frozen"/>
      <selection activeCell="F52" sqref="F52"/>
      <selection pane="bottomLeft" activeCell="A2" sqref="A2"/>
    </sheetView>
  </sheetViews>
  <sheetFormatPr defaultRowHeight="14.5"/>
  <cols>
    <col min="1" max="1" width="18.1796875" customWidth="1"/>
    <col min="2" max="2" width="18.81640625" customWidth="1"/>
    <col min="3" max="3" width="34.453125" customWidth="1"/>
  </cols>
  <sheetData>
    <row r="1" spans="1:6" s="2" customFormat="1">
      <c r="A1" s="2" t="s">
        <v>82</v>
      </c>
      <c r="B1" s="2" t="s">
        <v>83</v>
      </c>
      <c r="C1" s="2" t="s">
        <v>84</v>
      </c>
      <c r="D1" s="2" t="s">
        <v>134</v>
      </c>
      <c r="E1" s="2" t="s">
        <v>136</v>
      </c>
      <c r="F1" s="2" t="s">
        <v>135</v>
      </c>
    </row>
    <row r="2" spans="1:6">
      <c r="A2" t="s">
        <v>195</v>
      </c>
      <c r="B2" t="s">
        <v>12</v>
      </c>
      <c r="C2" t="b">
        <v>1</v>
      </c>
      <c r="D2">
        <v>9</v>
      </c>
      <c r="E2">
        <v>9</v>
      </c>
    </row>
    <row r="3" spans="1:6">
      <c r="A3" t="s">
        <v>195</v>
      </c>
      <c r="B3" t="s">
        <v>14</v>
      </c>
      <c r="C3" t="b">
        <v>1</v>
      </c>
      <c r="D3">
        <v>6</v>
      </c>
      <c r="E3">
        <v>6</v>
      </c>
    </row>
    <row r="4" spans="1:6">
      <c r="A4" t="s">
        <v>195</v>
      </c>
      <c r="B4" t="s">
        <v>16</v>
      </c>
      <c r="C4" t="b">
        <v>0</v>
      </c>
      <c r="D4">
        <v>10</v>
      </c>
      <c r="E4">
        <v>0</v>
      </c>
    </row>
    <row r="5" spans="1:6">
      <c r="A5" t="s">
        <v>195</v>
      </c>
      <c r="B5" t="s">
        <v>18</v>
      </c>
      <c r="C5" t="b">
        <v>0</v>
      </c>
      <c r="D5">
        <v>9</v>
      </c>
      <c r="E5">
        <v>0</v>
      </c>
    </row>
    <row r="6" spans="1:6">
      <c r="A6" t="s">
        <v>195</v>
      </c>
      <c r="B6" t="s">
        <v>19</v>
      </c>
      <c r="C6" t="b">
        <v>1</v>
      </c>
      <c r="D6">
        <v>9</v>
      </c>
      <c r="E6">
        <v>9</v>
      </c>
    </row>
    <row r="7" spans="1:6">
      <c r="A7" t="s">
        <v>195</v>
      </c>
      <c r="B7" t="s">
        <v>270</v>
      </c>
      <c r="C7" t="b">
        <v>1</v>
      </c>
      <c r="D7">
        <v>8</v>
      </c>
      <c r="E7">
        <v>8</v>
      </c>
    </row>
    <row r="8" spans="1:6">
      <c r="A8" t="s">
        <v>195</v>
      </c>
      <c r="B8" t="s">
        <v>20</v>
      </c>
      <c r="C8" t="b">
        <v>1</v>
      </c>
      <c r="D8">
        <v>5</v>
      </c>
      <c r="E8">
        <v>5</v>
      </c>
    </row>
    <row r="9" spans="1:6">
      <c r="A9" t="s">
        <v>195</v>
      </c>
      <c r="B9" t="s">
        <v>21</v>
      </c>
      <c r="C9" t="b">
        <v>1</v>
      </c>
      <c r="D9">
        <v>9</v>
      </c>
      <c r="E9">
        <v>9</v>
      </c>
    </row>
    <row r="10" spans="1:6">
      <c r="A10" t="s">
        <v>195</v>
      </c>
      <c r="B10" t="s">
        <v>22</v>
      </c>
      <c r="C10" t="b">
        <v>1</v>
      </c>
      <c r="D10">
        <v>9</v>
      </c>
      <c r="E10">
        <v>9</v>
      </c>
    </row>
    <row r="11" spans="1:6">
      <c r="A11" t="s">
        <v>195</v>
      </c>
      <c r="B11" t="s">
        <v>23</v>
      </c>
      <c r="C11" t="b">
        <v>1</v>
      </c>
      <c r="D11">
        <v>6</v>
      </c>
      <c r="E11">
        <v>6</v>
      </c>
    </row>
    <row r="12" spans="1:6">
      <c r="A12" t="s">
        <v>195</v>
      </c>
      <c r="B12" t="s">
        <v>24</v>
      </c>
      <c r="C12" t="b">
        <v>1</v>
      </c>
      <c r="D12">
        <v>9</v>
      </c>
      <c r="E12">
        <v>9</v>
      </c>
    </row>
    <row r="13" spans="1:6">
      <c r="A13" t="s">
        <v>195</v>
      </c>
      <c r="B13" t="s">
        <v>25</v>
      </c>
      <c r="C13" t="b">
        <v>1</v>
      </c>
      <c r="D13">
        <v>9</v>
      </c>
      <c r="E13">
        <v>9</v>
      </c>
    </row>
    <row r="14" spans="1:6">
      <c r="A14" t="s">
        <v>195</v>
      </c>
      <c r="B14" t="s">
        <v>27</v>
      </c>
      <c r="C14" t="b">
        <v>0</v>
      </c>
      <c r="D14">
        <v>10</v>
      </c>
      <c r="E14">
        <v>0</v>
      </c>
    </row>
    <row r="15" spans="1:6">
      <c r="A15" t="s">
        <v>195</v>
      </c>
      <c r="B15" t="s">
        <v>29</v>
      </c>
      <c r="C15" t="b">
        <v>0</v>
      </c>
      <c r="D15">
        <v>8</v>
      </c>
      <c r="E15">
        <v>0</v>
      </c>
    </row>
    <row r="16" spans="1:6">
      <c r="A16" t="s">
        <v>195</v>
      </c>
      <c r="B16" t="s">
        <v>31</v>
      </c>
      <c r="C16" t="b">
        <v>0</v>
      </c>
      <c r="D16">
        <v>9</v>
      </c>
      <c r="E16">
        <v>0</v>
      </c>
    </row>
    <row r="17" spans="1:5">
      <c r="A17" t="s">
        <v>195</v>
      </c>
      <c r="B17" t="s">
        <v>33</v>
      </c>
      <c r="C17" t="b">
        <v>1</v>
      </c>
      <c r="D17">
        <v>10</v>
      </c>
      <c r="E17">
        <v>10</v>
      </c>
    </row>
    <row r="18" spans="1:5">
      <c r="A18" t="s">
        <v>195</v>
      </c>
      <c r="B18" t="s">
        <v>35</v>
      </c>
      <c r="C18" t="b">
        <v>0</v>
      </c>
      <c r="D18">
        <v>10</v>
      </c>
      <c r="E18">
        <v>0</v>
      </c>
    </row>
    <row r="19" spans="1:5">
      <c r="A19" t="s">
        <v>195</v>
      </c>
      <c r="B19" t="s">
        <v>37</v>
      </c>
      <c r="C19" t="b">
        <v>0</v>
      </c>
      <c r="D19">
        <v>10</v>
      </c>
      <c r="E19">
        <v>0</v>
      </c>
    </row>
    <row r="20" spans="1:5">
      <c r="A20" t="s">
        <v>195</v>
      </c>
      <c r="B20" t="s">
        <v>39</v>
      </c>
      <c r="C20" t="b">
        <v>1</v>
      </c>
      <c r="D20">
        <v>9</v>
      </c>
      <c r="E20">
        <v>9</v>
      </c>
    </row>
    <row r="21" spans="1:5">
      <c r="A21" t="s">
        <v>195</v>
      </c>
      <c r="B21" t="s">
        <v>149</v>
      </c>
      <c r="C21" t="b">
        <v>0</v>
      </c>
      <c r="D21">
        <v>9</v>
      </c>
      <c r="E21">
        <v>0</v>
      </c>
    </row>
    <row r="22" spans="1:5">
      <c r="A22" t="s">
        <v>195</v>
      </c>
      <c r="B22" t="s">
        <v>42</v>
      </c>
      <c r="C22" t="b">
        <v>1</v>
      </c>
      <c r="D22">
        <v>10</v>
      </c>
      <c r="E22">
        <v>10</v>
      </c>
    </row>
    <row r="23" spans="1:5">
      <c r="A23" t="s">
        <v>195</v>
      </c>
      <c r="B23" t="s">
        <v>44</v>
      </c>
      <c r="C23" t="b">
        <v>1</v>
      </c>
      <c r="D23">
        <v>10</v>
      </c>
      <c r="E23">
        <v>10</v>
      </c>
    </row>
    <row r="24" spans="1:5">
      <c r="A24" t="s">
        <v>195</v>
      </c>
      <c r="B24" t="s">
        <v>46</v>
      </c>
      <c r="C24" t="b">
        <v>1</v>
      </c>
      <c r="D24">
        <v>10</v>
      </c>
      <c r="E24">
        <v>10</v>
      </c>
    </row>
    <row r="25" spans="1:5">
      <c r="A25" t="s">
        <v>195</v>
      </c>
      <c r="B25" t="s">
        <v>48</v>
      </c>
      <c r="C25" t="b">
        <v>1</v>
      </c>
      <c r="D25">
        <v>10</v>
      </c>
      <c r="E25">
        <v>10</v>
      </c>
    </row>
    <row r="26" spans="1:5">
      <c r="A26" t="s">
        <v>195</v>
      </c>
      <c r="B26" t="s">
        <v>50</v>
      </c>
      <c r="C26" t="b">
        <v>1</v>
      </c>
      <c r="D26">
        <v>10</v>
      </c>
      <c r="E26">
        <v>10</v>
      </c>
    </row>
    <row r="27" spans="1:5">
      <c r="A27" t="s">
        <v>195</v>
      </c>
      <c r="B27" t="s">
        <v>52</v>
      </c>
      <c r="C27" t="b">
        <v>1</v>
      </c>
      <c r="D27">
        <v>10</v>
      </c>
      <c r="E27">
        <v>10</v>
      </c>
    </row>
    <row r="28" spans="1:5">
      <c r="A28" t="s">
        <v>195</v>
      </c>
      <c r="B28" t="s">
        <v>54</v>
      </c>
      <c r="C28" t="b">
        <v>1</v>
      </c>
      <c r="D28">
        <v>10</v>
      </c>
      <c r="E28">
        <v>10</v>
      </c>
    </row>
    <row r="29" spans="1:5">
      <c r="A29" t="s">
        <v>195</v>
      </c>
      <c r="B29" t="s">
        <v>56</v>
      </c>
      <c r="C29" t="b">
        <v>0</v>
      </c>
      <c r="D29">
        <v>10</v>
      </c>
      <c r="E29">
        <v>0</v>
      </c>
    </row>
    <row r="30" spans="1:5">
      <c r="A30" t="s">
        <v>195</v>
      </c>
      <c r="B30" t="s">
        <v>58</v>
      </c>
      <c r="C30" t="b">
        <v>1</v>
      </c>
      <c r="D30">
        <v>10</v>
      </c>
      <c r="E30">
        <v>10</v>
      </c>
    </row>
    <row r="31" spans="1:5">
      <c r="A31" t="s">
        <v>195</v>
      </c>
      <c r="B31" t="s">
        <v>60</v>
      </c>
      <c r="C31" t="b">
        <v>1</v>
      </c>
      <c r="D31">
        <v>10</v>
      </c>
      <c r="E31">
        <v>10</v>
      </c>
    </row>
    <row r="32" spans="1:5">
      <c r="A32" t="s">
        <v>195</v>
      </c>
      <c r="B32" t="s">
        <v>62</v>
      </c>
      <c r="C32" t="b">
        <v>1</v>
      </c>
      <c r="D32">
        <v>9</v>
      </c>
      <c r="E32">
        <v>9</v>
      </c>
    </row>
    <row r="33" spans="1:5">
      <c r="A33" t="s">
        <v>195</v>
      </c>
      <c r="B33" t="s">
        <v>64</v>
      </c>
      <c r="C33" t="b">
        <v>1</v>
      </c>
      <c r="D33">
        <v>9</v>
      </c>
      <c r="E33">
        <v>9</v>
      </c>
    </row>
    <row r="34" spans="1:5">
      <c r="A34" t="s">
        <v>195</v>
      </c>
      <c r="B34" t="s">
        <v>66</v>
      </c>
      <c r="C34" t="b">
        <v>1</v>
      </c>
      <c r="D34">
        <v>6</v>
      </c>
      <c r="E34">
        <v>6</v>
      </c>
    </row>
    <row r="35" spans="1:5">
      <c r="A35" t="s">
        <v>195</v>
      </c>
      <c r="B35" t="s">
        <v>68</v>
      </c>
      <c r="C35" t="b">
        <v>1</v>
      </c>
      <c r="D35">
        <v>6</v>
      </c>
      <c r="E35">
        <v>6</v>
      </c>
    </row>
    <row r="36" spans="1:5">
      <c r="A36" t="s">
        <v>195</v>
      </c>
      <c r="B36" t="s">
        <v>69</v>
      </c>
      <c r="C36" t="b">
        <v>1</v>
      </c>
      <c r="D36">
        <v>9</v>
      </c>
      <c r="E36">
        <v>9</v>
      </c>
    </row>
    <row r="37" spans="1:5">
      <c r="A37" t="s">
        <v>195</v>
      </c>
      <c r="B37" t="s">
        <v>71</v>
      </c>
      <c r="C37" t="b">
        <v>1</v>
      </c>
      <c r="D37">
        <v>6</v>
      </c>
      <c r="E37">
        <v>6</v>
      </c>
    </row>
    <row r="38" spans="1:5">
      <c r="A38" t="s">
        <v>195</v>
      </c>
      <c r="B38" t="s">
        <v>73</v>
      </c>
      <c r="C38" t="b">
        <v>1</v>
      </c>
      <c r="D38">
        <v>10</v>
      </c>
      <c r="E38">
        <v>10</v>
      </c>
    </row>
    <row r="39" spans="1:5">
      <c r="A39" t="s">
        <v>195</v>
      </c>
      <c r="B39" t="s">
        <v>271</v>
      </c>
      <c r="C39" t="b">
        <v>1</v>
      </c>
      <c r="D39">
        <v>9</v>
      </c>
      <c r="E39">
        <v>9</v>
      </c>
    </row>
    <row r="40" spans="1:5">
      <c r="A40" t="s">
        <v>195</v>
      </c>
      <c r="B40" t="s">
        <v>272</v>
      </c>
      <c r="C40" t="b">
        <v>1</v>
      </c>
      <c r="D40">
        <v>5</v>
      </c>
      <c r="E40">
        <v>5</v>
      </c>
    </row>
    <row r="41" spans="1:5">
      <c r="A41" t="s">
        <v>195</v>
      </c>
      <c r="B41" t="s">
        <v>273</v>
      </c>
      <c r="C41" t="b">
        <v>1</v>
      </c>
      <c r="D41">
        <v>10</v>
      </c>
      <c r="E41">
        <v>10</v>
      </c>
    </row>
    <row r="42" spans="1:5">
      <c r="A42" t="s">
        <v>195</v>
      </c>
      <c r="B42" t="s">
        <v>274</v>
      </c>
      <c r="C42" t="b">
        <v>1</v>
      </c>
      <c r="D42">
        <v>10</v>
      </c>
      <c r="E42">
        <v>10</v>
      </c>
    </row>
    <row r="43" spans="1:5">
      <c r="A43" t="s">
        <v>195</v>
      </c>
      <c r="B43" t="s">
        <v>275</v>
      </c>
      <c r="C43" t="b">
        <v>1</v>
      </c>
      <c r="D43">
        <v>10</v>
      </c>
      <c r="E43">
        <v>10</v>
      </c>
    </row>
    <row r="44" spans="1:5">
      <c r="A44" t="s">
        <v>195</v>
      </c>
      <c r="B44" t="s">
        <v>276</v>
      </c>
      <c r="C44" t="b">
        <v>0</v>
      </c>
      <c r="D44">
        <v>9</v>
      </c>
      <c r="E44">
        <v>0</v>
      </c>
    </row>
    <row r="45" spans="1:5" ht="15.5" customHeight="1">
      <c r="A45" t="s">
        <v>195</v>
      </c>
      <c r="B45" t="s">
        <v>277</v>
      </c>
      <c r="C45" t="b">
        <v>0</v>
      </c>
      <c r="D45">
        <v>9</v>
      </c>
      <c r="E45">
        <v>0</v>
      </c>
    </row>
    <row r="46" spans="1:5" ht="15.5" customHeight="1">
      <c r="A46" t="s">
        <v>195</v>
      </c>
      <c r="B46" t="s">
        <v>76</v>
      </c>
      <c r="C46" t="b">
        <v>0</v>
      </c>
      <c r="D46">
        <v>98</v>
      </c>
      <c r="E46">
        <v>79</v>
      </c>
    </row>
    <row r="47" spans="1:5">
      <c r="A47" t="s">
        <v>195</v>
      </c>
      <c r="B47" t="s">
        <v>77</v>
      </c>
      <c r="C47" t="b">
        <v>0</v>
      </c>
      <c r="D47">
        <v>27</v>
      </c>
      <c r="E47">
        <v>0</v>
      </c>
    </row>
    <row r="48" spans="1:5">
      <c r="A48" t="s">
        <v>195</v>
      </c>
      <c r="B48" t="s">
        <v>78</v>
      </c>
      <c r="C48" t="b">
        <v>0</v>
      </c>
      <c r="D48">
        <v>48</v>
      </c>
      <c r="E48">
        <v>19</v>
      </c>
    </row>
    <row r="49" spans="1:5">
      <c r="A49" t="s">
        <v>195</v>
      </c>
      <c r="B49" t="s">
        <v>79</v>
      </c>
      <c r="C49" t="b">
        <v>0</v>
      </c>
      <c r="D49">
        <v>100</v>
      </c>
      <c r="E49">
        <v>90</v>
      </c>
    </row>
    <row r="50" spans="1:5">
      <c r="A50" t="s">
        <v>195</v>
      </c>
      <c r="B50" t="s">
        <v>80</v>
      </c>
      <c r="C50" t="b">
        <v>1</v>
      </c>
      <c r="D50">
        <v>69</v>
      </c>
      <c r="E50">
        <v>69</v>
      </c>
    </row>
    <row r="51" spans="1:5">
      <c r="A51" t="s">
        <v>195</v>
      </c>
      <c r="B51" t="s">
        <v>81</v>
      </c>
      <c r="C51" t="b">
        <v>0</v>
      </c>
      <c r="D51">
        <v>48</v>
      </c>
      <c r="E51">
        <v>30</v>
      </c>
    </row>
    <row r="52" spans="1:5">
      <c r="A52" t="s">
        <v>195</v>
      </c>
      <c r="B52" t="s">
        <v>190</v>
      </c>
      <c r="C52" t="b">
        <v>0</v>
      </c>
      <c r="D52">
        <v>98</v>
      </c>
      <c r="E52">
        <v>79</v>
      </c>
    </row>
    <row r="53" spans="1:5">
      <c r="A53" t="s">
        <v>195</v>
      </c>
      <c r="B53" t="s">
        <v>191</v>
      </c>
      <c r="C53" t="b">
        <v>0</v>
      </c>
      <c r="D53">
        <v>244</v>
      </c>
      <c r="E53">
        <v>178</v>
      </c>
    </row>
    <row r="54" spans="1:5">
      <c r="A54" t="s">
        <v>195</v>
      </c>
      <c r="B54" t="s">
        <v>192</v>
      </c>
      <c r="C54" t="b">
        <v>0</v>
      </c>
      <c r="D54">
        <v>48</v>
      </c>
      <c r="E54">
        <v>30</v>
      </c>
    </row>
    <row r="55" spans="1:5">
      <c r="A55" t="s">
        <v>195</v>
      </c>
      <c r="B55" t="s">
        <v>193</v>
      </c>
      <c r="C55" t="b">
        <v>0</v>
      </c>
      <c r="D55">
        <v>390</v>
      </c>
      <c r="E55">
        <v>287</v>
      </c>
    </row>
  </sheetData>
  <sheetProtection algorithmName="SHA-512" hashValue="T8ebgt4p39jx+/XQkomXT/rdfzd6IDq2lUxJYwbCHYH+q+ocQrCHf9LqAN4R7S1AMqUgiw4f9FZgvTlkk7vm5g==" saltValue="/ni8jnjdq9A6Q6CqHKfVZQ==" spinCount="100000" sheet="1" objects="1" scenarios="1" formatCells="0"/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1:AZ275"/>
  <sheetViews>
    <sheetView topLeftCell="AF1" zoomScale="80" zoomScaleNormal="80" workbookViewId="0">
      <selection activeCell="AU3" sqref="AU3"/>
    </sheetView>
  </sheetViews>
  <sheetFormatPr defaultColWidth="8.7265625" defaultRowHeight="12.9" customHeight="1"/>
  <cols>
    <col min="1" max="3" width="8.7265625" style="14"/>
    <col min="4" max="52" width="10.6328125" style="13" customWidth="1"/>
    <col min="53" max="16384" width="8.7265625" style="14"/>
  </cols>
  <sheetData>
    <row r="1" spans="4:52" ht="12.9" customHeight="1">
      <c r="D1" s="12">
        <v>1</v>
      </c>
      <c r="E1" s="12">
        <v>2</v>
      </c>
      <c r="F1" s="12">
        <v>3</v>
      </c>
      <c r="G1" s="12">
        <v>4</v>
      </c>
      <c r="H1" s="12">
        <v>5</v>
      </c>
      <c r="I1" s="12">
        <v>6</v>
      </c>
      <c r="J1" s="12">
        <v>7</v>
      </c>
      <c r="K1" s="12">
        <v>8</v>
      </c>
      <c r="L1" s="12">
        <v>9</v>
      </c>
      <c r="M1" s="12">
        <v>10</v>
      </c>
      <c r="N1" s="12">
        <v>11</v>
      </c>
      <c r="O1" s="12">
        <v>12</v>
      </c>
      <c r="P1" s="12">
        <v>13</v>
      </c>
      <c r="Q1" s="24">
        <v>14</v>
      </c>
      <c r="R1" s="24">
        <v>15</v>
      </c>
      <c r="S1" s="12">
        <v>16</v>
      </c>
      <c r="T1" s="12">
        <v>17</v>
      </c>
      <c r="U1" s="24">
        <v>18</v>
      </c>
      <c r="V1" s="24">
        <v>19</v>
      </c>
      <c r="W1" s="12">
        <v>20</v>
      </c>
      <c r="X1" s="12">
        <v>21</v>
      </c>
      <c r="Y1" s="12">
        <v>22</v>
      </c>
      <c r="Z1" s="12">
        <v>23</v>
      </c>
      <c r="AA1" s="12">
        <v>24</v>
      </c>
      <c r="AB1" s="12">
        <v>25</v>
      </c>
      <c r="AC1" s="12">
        <v>26</v>
      </c>
      <c r="AD1" s="12">
        <v>27</v>
      </c>
      <c r="AE1" s="12">
        <v>28</v>
      </c>
      <c r="AF1" s="12">
        <v>29</v>
      </c>
      <c r="AG1" s="12">
        <v>30</v>
      </c>
      <c r="AH1" s="12">
        <v>31</v>
      </c>
      <c r="AI1" s="12">
        <v>32</v>
      </c>
      <c r="AJ1" s="12">
        <v>33</v>
      </c>
      <c r="AK1" s="12">
        <v>34</v>
      </c>
      <c r="AL1" s="12">
        <v>35</v>
      </c>
      <c r="AM1" s="12">
        <v>36</v>
      </c>
      <c r="AN1" s="12">
        <v>37</v>
      </c>
      <c r="AO1" s="12">
        <v>38</v>
      </c>
      <c r="AP1" s="12">
        <v>39</v>
      </c>
      <c r="AQ1" s="12">
        <v>40</v>
      </c>
      <c r="AR1" s="12">
        <v>41</v>
      </c>
      <c r="AS1" s="12">
        <v>42</v>
      </c>
      <c r="AT1" s="12">
        <v>43</v>
      </c>
      <c r="AU1" s="12">
        <v>44</v>
      </c>
      <c r="AV1" s="12"/>
      <c r="AW1" s="12"/>
      <c r="AX1" s="12"/>
    </row>
    <row r="2" spans="4:52" ht="12.9" customHeight="1"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24"/>
      <c r="R2" s="24"/>
      <c r="S2" s="12"/>
      <c r="T2" s="12"/>
      <c r="U2" s="24"/>
      <c r="V2" s="24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</row>
    <row r="3" spans="4:52" s="23" customFormat="1" ht="12.9" customHeight="1">
      <c r="D3" s="20" t="s">
        <v>102</v>
      </c>
      <c r="E3" s="20"/>
      <c r="F3" s="20" t="s">
        <v>102</v>
      </c>
      <c r="G3" s="20" t="s">
        <v>102</v>
      </c>
      <c r="H3" s="20" t="s">
        <v>102</v>
      </c>
      <c r="I3" s="20" t="s">
        <v>102</v>
      </c>
      <c r="J3" s="20"/>
      <c r="K3" s="20" t="s">
        <v>102</v>
      </c>
      <c r="L3" s="20" t="s">
        <v>102</v>
      </c>
      <c r="M3" s="21"/>
      <c r="N3" s="20" t="s">
        <v>102</v>
      </c>
      <c r="O3" s="20" t="s">
        <v>102</v>
      </c>
      <c r="P3" s="20" t="s">
        <v>102</v>
      </c>
      <c r="Q3" s="20" t="s">
        <v>102</v>
      </c>
      <c r="R3" s="20" t="s">
        <v>102</v>
      </c>
      <c r="S3" s="20" t="s">
        <v>102</v>
      </c>
      <c r="T3" s="20" t="s">
        <v>102</v>
      </c>
      <c r="U3" s="20" t="s">
        <v>102</v>
      </c>
      <c r="V3" s="20" t="s">
        <v>102</v>
      </c>
      <c r="W3" s="20" t="s">
        <v>102</v>
      </c>
      <c r="X3" s="20" t="s">
        <v>102</v>
      </c>
      <c r="Y3" s="20" t="s">
        <v>102</v>
      </c>
      <c r="Z3" s="20" t="s">
        <v>102</v>
      </c>
      <c r="AA3" s="20" t="s">
        <v>102</v>
      </c>
      <c r="AB3" s="20" t="s">
        <v>102</v>
      </c>
      <c r="AC3" s="20" t="s">
        <v>102</v>
      </c>
      <c r="AD3" s="20" t="s">
        <v>102</v>
      </c>
      <c r="AE3" s="20" t="s">
        <v>102</v>
      </c>
      <c r="AF3" s="20" t="s">
        <v>102</v>
      </c>
      <c r="AG3" s="20" t="s">
        <v>102</v>
      </c>
      <c r="AH3" s="20" t="s">
        <v>102</v>
      </c>
      <c r="AI3" s="20" t="s">
        <v>102</v>
      </c>
      <c r="AJ3" s="21"/>
      <c r="AK3" s="21"/>
      <c r="AL3" s="20" t="s">
        <v>102</v>
      </c>
      <c r="AM3" s="21"/>
      <c r="AN3" s="20" t="s">
        <v>102</v>
      </c>
      <c r="AO3" s="20" t="s">
        <v>102</v>
      </c>
      <c r="AP3" s="21"/>
      <c r="AQ3" s="20" t="s">
        <v>102</v>
      </c>
      <c r="AR3" s="20" t="s">
        <v>102</v>
      </c>
      <c r="AS3" s="20" t="s">
        <v>102</v>
      </c>
      <c r="AT3" s="20" t="s">
        <v>102</v>
      </c>
      <c r="AU3" s="20" t="s">
        <v>102</v>
      </c>
      <c r="AV3" s="21"/>
      <c r="AW3" s="21"/>
      <c r="AX3" s="21"/>
      <c r="AY3" s="22"/>
      <c r="AZ3" s="22"/>
    </row>
    <row r="4" spans="4:52" s="17" customFormat="1" ht="12.9" customHeight="1">
      <c r="D4" s="15" t="s">
        <v>0</v>
      </c>
      <c r="E4" s="15" t="s">
        <v>0</v>
      </c>
      <c r="F4" s="15" t="s">
        <v>0</v>
      </c>
      <c r="G4" s="15" t="s">
        <v>0</v>
      </c>
      <c r="H4" s="15" t="s">
        <v>0</v>
      </c>
      <c r="I4" s="15" t="s">
        <v>0</v>
      </c>
      <c r="J4" s="15" t="s">
        <v>0</v>
      </c>
      <c r="K4" s="15" t="s">
        <v>0</v>
      </c>
      <c r="L4" s="15" t="s">
        <v>0</v>
      </c>
      <c r="M4" s="15" t="s">
        <v>0</v>
      </c>
      <c r="N4" s="15" t="s">
        <v>0</v>
      </c>
      <c r="O4" s="15" t="s">
        <v>0</v>
      </c>
      <c r="P4" s="15" t="s">
        <v>0</v>
      </c>
      <c r="Q4" s="15" t="s">
        <v>0</v>
      </c>
      <c r="R4" s="15" t="s">
        <v>0</v>
      </c>
      <c r="S4" s="15" t="s">
        <v>0</v>
      </c>
      <c r="T4" s="15" t="s">
        <v>0</v>
      </c>
      <c r="U4" s="15" t="s">
        <v>0</v>
      </c>
      <c r="V4" s="15" t="s">
        <v>0</v>
      </c>
      <c r="W4" s="15" t="s">
        <v>0</v>
      </c>
      <c r="X4" s="15" t="s">
        <v>0</v>
      </c>
      <c r="Y4" s="15" t="s">
        <v>0</v>
      </c>
      <c r="Z4" s="15" t="s">
        <v>0</v>
      </c>
      <c r="AA4" s="15" t="s">
        <v>0</v>
      </c>
      <c r="AB4" s="15" t="s">
        <v>0</v>
      </c>
      <c r="AC4" s="15" t="s">
        <v>0</v>
      </c>
      <c r="AD4" s="15" t="s">
        <v>0</v>
      </c>
      <c r="AE4" s="15" t="s">
        <v>0</v>
      </c>
      <c r="AF4" s="15" t="s">
        <v>0</v>
      </c>
      <c r="AG4" s="15" t="s">
        <v>0</v>
      </c>
      <c r="AH4" s="15" t="s">
        <v>0</v>
      </c>
      <c r="AI4" s="15" t="s">
        <v>0</v>
      </c>
      <c r="AJ4" s="15" t="s">
        <v>0</v>
      </c>
      <c r="AK4" s="15" t="s">
        <v>0</v>
      </c>
      <c r="AL4" s="15" t="s">
        <v>0</v>
      </c>
      <c r="AM4" s="15" t="s">
        <v>0</v>
      </c>
      <c r="AN4" s="15" t="s">
        <v>0</v>
      </c>
      <c r="AO4" s="15" t="s">
        <v>0</v>
      </c>
      <c r="AP4" s="15" t="s">
        <v>0</v>
      </c>
      <c r="AQ4" s="15" t="s">
        <v>0</v>
      </c>
      <c r="AR4" s="15" t="s">
        <v>0</v>
      </c>
      <c r="AS4" s="15" t="s">
        <v>0</v>
      </c>
      <c r="AT4" s="15" t="s">
        <v>0</v>
      </c>
      <c r="AU4" s="15" t="s">
        <v>0</v>
      </c>
      <c r="AV4" s="15"/>
      <c r="AW4" s="15"/>
      <c r="AX4" s="15"/>
      <c r="AY4" s="16"/>
      <c r="AZ4" s="16"/>
    </row>
    <row r="5" spans="4:52" s="17" customFormat="1" ht="26.15" customHeight="1">
      <c r="D5" s="18" t="s">
        <v>2</v>
      </c>
      <c r="E5" s="18" t="s">
        <v>2</v>
      </c>
      <c r="F5" s="18" t="s">
        <v>2</v>
      </c>
      <c r="G5" s="18" t="s">
        <v>2</v>
      </c>
      <c r="H5" s="18" t="s">
        <v>2</v>
      </c>
      <c r="I5" s="18" t="s">
        <v>2</v>
      </c>
      <c r="J5" s="18" t="s">
        <v>2</v>
      </c>
      <c r="K5" s="18" t="s">
        <v>2</v>
      </c>
      <c r="L5" s="18" t="s">
        <v>2</v>
      </c>
      <c r="M5" s="18" t="s">
        <v>2</v>
      </c>
      <c r="N5" s="18" t="s">
        <v>2</v>
      </c>
      <c r="O5" s="18" t="s">
        <v>2</v>
      </c>
      <c r="P5" s="18" t="s">
        <v>2</v>
      </c>
      <c r="Q5" s="18" t="s">
        <v>2</v>
      </c>
      <c r="R5" s="18" t="s">
        <v>2</v>
      </c>
      <c r="S5" s="18" t="s">
        <v>2</v>
      </c>
      <c r="T5" s="18" t="s">
        <v>2</v>
      </c>
      <c r="U5" s="18" t="s">
        <v>2</v>
      </c>
      <c r="V5" s="18" t="s">
        <v>2</v>
      </c>
      <c r="W5" s="18" t="s">
        <v>2</v>
      </c>
      <c r="X5" s="18" t="s">
        <v>2</v>
      </c>
      <c r="Y5" s="18" t="s">
        <v>2</v>
      </c>
      <c r="Z5" s="18" t="s">
        <v>2</v>
      </c>
      <c r="AA5" s="18" t="s">
        <v>2</v>
      </c>
      <c r="AB5" s="18" t="s">
        <v>2</v>
      </c>
      <c r="AC5" s="18" t="s">
        <v>2</v>
      </c>
      <c r="AD5" s="18" t="s">
        <v>2</v>
      </c>
      <c r="AE5" s="18" t="s">
        <v>2</v>
      </c>
      <c r="AF5" s="18" t="s">
        <v>2</v>
      </c>
      <c r="AG5" s="18" t="s">
        <v>2</v>
      </c>
      <c r="AH5" s="18" t="s">
        <v>2</v>
      </c>
      <c r="AI5" s="18" t="s">
        <v>2</v>
      </c>
      <c r="AJ5" s="18" t="s">
        <v>2</v>
      </c>
      <c r="AK5" s="18" t="s">
        <v>2</v>
      </c>
      <c r="AL5" s="18" t="s">
        <v>2</v>
      </c>
      <c r="AM5" s="18" t="s">
        <v>2</v>
      </c>
      <c r="AN5" s="18" t="s">
        <v>2</v>
      </c>
      <c r="AO5" s="18" t="s">
        <v>2</v>
      </c>
      <c r="AP5" s="18" t="s">
        <v>2</v>
      </c>
      <c r="AQ5" s="18" t="s">
        <v>2</v>
      </c>
      <c r="AR5" s="18" t="s">
        <v>2</v>
      </c>
      <c r="AS5" s="18" t="s">
        <v>2</v>
      </c>
      <c r="AT5" s="18" t="s">
        <v>2</v>
      </c>
      <c r="AU5" s="18" t="s">
        <v>2</v>
      </c>
      <c r="AV5" s="18"/>
      <c r="AW5" s="18"/>
      <c r="AX5" s="18"/>
      <c r="AY5" s="18"/>
      <c r="AZ5" s="16"/>
    </row>
    <row r="6" spans="4:52" s="17" customFormat="1" ht="26.15" customHeight="1">
      <c r="D6" s="19"/>
      <c r="E6" s="19"/>
      <c r="F6" s="19"/>
      <c r="G6" s="19"/>
      <c r="H6" s="19"/>
      <c r="I6" s="19"/>
      <c r="J6" s="19" t="s">
        <v>95</v>
      </c>
      <c r="K6" s="19"/>
      <c r="L6" s="19" t="s">
        <v>95</v>
      </c>
      <c r="M6" s="19"/>
      <c r="N6" s="19"/>
      <c r="O6" s="19" t="s">
        <v>95</v>
      </c>
      <c r="P6" s="19"/>
      <c r="Q6" s="19"/>
      <c r="R6" s="19"/>
      <c r="S6" s="19"/>
      <c r="T6" s="19"/>
      <c r="U6" s="19"/>
      <c r="V6" s="19"/>
      <c r="W6" s="19"/>
      <c r="X6" s="19" t="s">
        <v>95</v>
      </c>
      <c r="Y6" s="19" t="s">
        <v>95</v>
      </c>
      <c r="Z6" s="19" t="s">
        <v>95</v>
      </c>
      <c r="AA6" s="19" t="s">
        <v>95</v>
      </c>
      <c r="AB6" s="19" t="s">
        <v>95</v>
      </c>
      <c r="AC6" s="19" t="s">
        <v>95</v>
      </c>
      <c r="AD6" s="19" t="s">
        <v>95</v>
      </c>
      <c r="AE6" s="19" t="s">
        <v>95</v>
      </c>
      <c r="AF6" s="19" t="s">
        <v>95</v>
      </c>
      <c r="AG6" s="19" t="s">
        <v>95</v>
      </c>
      <c r="AH6" s="19"/>
      <c r="AI6" s="19"/>
      <c r="AJ6" s="19"/>
      <c r="AL6" s="19"/>
      <c r="AM6" s="19" t="s">
        <v>95</v>
      </c>
      <c r="AN6" s="19" t="s">
        <v>95</v>
      </c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6"/>
      <c r="AZ6" s="16"/>
    </row>
    <row r="7" spans="4:52" s="17" customFormat="1" ht="12.9" customHeight="1">
      <c r="D7" s="19"/>
      <c r="E7" s="19"/>
      <c r="F7" s="19"/>
      <c r="G7" s="18"/>
      <c r="H7" s="18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8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8"/>
      <c r="AQ7" s="19"/>
      <c r="AR7" s="19"/>
      <c r="AS7" s="19"/>
      <c r="AT7" s="19"/>
      <c r="AU7" s="19"/>
      <c r="AV7" s="19"/>
      <c r="AW7" s="19"/>
      <c r="AX7" s="19"/>
      <c r="AY7" s="16"/>
      <c r="AZ7" s="16"/>
    </row>
    <row r="8" spans="4:52" s="17" customFormat="1" ht="12.9" customHeight="1"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9"/>
      <c r="AR8" s="19"/>
      <c r="AS8" s="19"/>
      <c r="AT8" s="19"/>
      <c r="AU8" s="19"/>
      <c r="AV8" s="19"/>
      <c r="AW8" s="19"/>
      <c r="AX8" s="19"/>
      <c r="AY8" s="16"/>
      <c r="AZ8" s="16"/>
    </row>
    <row r="9" spans="4:52" s="17" customFormat="1" ht="12.9" customHeight="1"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6"/>
      <c r="AZ9" s="16"/>
    </row>
    <row r="10" spans="4:52" s="17" customFormat="1" ht="12.9" customHeight="1"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6"/>
      <c r="AZ10" s="16"/>
    </row>
    <row r="11" spans="4:52" s="17" customFormat="1" ht="12.9" customHeight="1"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6"/>
      <c r="AZ11" s="16"/>
    </row>
    <row r="12" spans="4:52" s="17" customFormat="1" ht="12.9" customHeight="1"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6"/>
      <c r="AZ12" s="16"/>
    </row>
    <row r="13" spans="4:52" s="17" customFormat="1" ht="12.9" customHeight="1"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</row>
    <row r="14" spans="4:52" s="17" customFormat="1" ht="12.9" customHeight="1"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</row>
    <row r="15" spans="4:52" s="17" customFormat="1" ht="12.9" customHeight="1"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</row>
    <row r="16" spans="4:52" s="17" customFormat="1" ht="12.9" customHeight="1"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</row>
    <row r="17" spans="4:52" s="17" customFormat="1" ht="12.9" customHeight="1"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</row>
    <row r="18" spans="4:52" s="17" customFormat="1" ht="12.9" customHeight="1"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</row>
    <row r="19" spans="4:52" s="17" customFormat="1" ht="12.9" customHeight="1"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</row>
    <row r="20" spans="4:52" s="17" customFormat="1" ht="12.9" customHeight="1"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</row>
    <row r="21" spans="4:52" s="17" customFormat="1" ht="12.9" customHeight="1"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</row>
    <row r="22" spans="4:52" s="17" customFormat="1" ht="12.9" customHeight="1"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</row>
    <row r="23" spans="4:52" s="17" customFormat="1" ht="12.9" customHeight="1"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</row>
    <row r="24" spans="4:52" s="17" customFormat="1" ht="12.9" customHeight="1"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</row>
    <row r="25" spans="4:52" s="17" customFormat="1" ht="12.9" customHeight="1"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</row>
    <row r="26" spans="4:52" s="17" customFormat="1" ht="12.9" customHeight="1"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</row>
    <row r="27" spans="4:52" s="17" customFormat="1" ht="12.9" customHeight="1"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</row>
    <row r="28" spans="4:52" s="17" customFormat="1" ht="12.9" customHeight="1"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</row>
    <row r="29" spans="4:52" s="17" customFormat="1" ht="12.9" customHeight="1"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</row>
    <row r="30" spans="4:52" s="17" customFormat="1" ht="12.9" customHeight="1"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</row>
    <row r="31" spans="4:52" s="17" customFormat="1" ht="12.9" customHeight="1"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</row>
    <row r="32" spans="4:52" s="17" customFormat="1" ht="12.9" customHeight="1"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</row>
    <row r="33" spans="4:52" s="17" customFormat="1" ht="12.9" customHeight="1"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</row>
    <row r="34" spans="4:52" s="17" customFormat="1" ht="12.9" customHeight="1"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</row>
    <row r="35" spans="4:52" s="17" customFormat="1" ht="12.9" customHeight="1"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</row>
    <row r="36" spans="4:52" s="17" customFormat="1" ht="12.9" customHeight="1"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</row>
    <row r="37" spans="4:52" s="17" customFormat="1" ht="12.9" customHeight="1"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4:52" s="17" customFormat="1" ht="12.9" customHeight="1"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4:52" s="17" customFormat="1" ht="12.9" customHeight="1"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4:52" s="17" customFormat="1" ht="12.9" customHeight="1"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4:52" s="17" customFormat="1" ht="12.9" customHeight="1"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4:52" s="17" customFormat="1" ht="12.9" customHeight="1"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4:52" s="17" customFormat="1" ht="12.9" customHeight="1"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4:52" s="17" customFormat="1" ht="12.9" customHeight="1"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</row>
    <row r="45" spans="4:52" s="17" customFormat="1" ht="12.9" customHeight="1"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4:52" s="17" customFormat="1" ht="12.9" customHeight="1"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4:52" s="17" customFormat="1" ht="12.9" customHeight="1"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4:52" s="17" customFormat="1" ht="12.9" customHeight="1"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4:52" s="17" customFormat="1" ht="12.9" customHeight="1"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4:52" s="17" customFormat="1" ht="12.9" customHeight="1"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4:52" s="17" customFormat="1" ht="12.9" customHeight="1"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</row>
    <row r="52" spans="4:52" s="17" customFormat="1" ht="12.9" customHeight="1"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</row>
    <row r="53" spans="4:52" s="17" customFormat="1" ht="12.9" customHeight="1"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</row>
    <row r="54" spans="4:52" s="17" customFormat="1" ht="12.9" customHeight="1"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</row>
    <row r="55" spans="4:52" s="17" customFormat="1" ht="12.9" customHeight="1"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</row>
    <row r="56" spans="4:52" s="17" customFormat="1" ht="12.9" customHeight="1"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</row>
    <row r="57" spans="4:52" s="17" customFormat="1" ht="12.9" customHeight="1"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</row>
    <row r="58" spans="4:52" s="17" customFormat="1" ht="12.9" customHeight="1"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</row>
    <row r="59" spans="4:52" s="17" customFormat="1" ht="12.9" customHeight="1"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</row>
    <row r="60" spans="4:52" s="17" customFormat="1" ht="12.9" customHeight="1"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</row>
    <row r="61" spans="4:52" s="17" customFormat="1" ht="12.9" customHeight="1"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</row>
    <row r="62" spans="4:52" s="17" customFormat="1" ht="12.9" customHeight="1"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</row>
    <row r="63" spans="4:52" s="17" customFormat="1" ht="12.9" customHeight="1"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</row>
    <row r="64" spans="4:52" s="17" customFormat="1" ht="12.9" customHeight="1"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</row>
    <row r="65" spans="4:52" s="17" customFormat="1" ht="12.9" customHeight="1"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</row>
    <row r="66" spans="4:52" s="17" customFormat="1" ht="12.9" customHeight="1"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</row>
    <row r="67" spans="4:52" s="17" customFormat="1" ht="12.9" customHeight="1"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</row>
    <row r="68" spans="4:52" s="17" customFormat="1" ht="12.9" customHeight="1"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</row>
    <row r="69" spans="4:52" s="17" customFormat="1" ht="12.9" customHeight="1"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</row>
    <row r="70" spans="4:52" s="17" customFormat="1" ht="12.9" customHeight="1"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</row>
    <row r="71" spans="4:52" s="17" customFormat="1" ht="12.9" customHeight="1"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</row>
    <row r="72" spans="4:52" s="17" customFormat="1" ht="12.9" customHeight="1"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</row>
    <row r="73" spans="4:52" s="17" customFormat="1" ht="12.9" customHeight="1"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</row>
    <row r="74" spans="4:52" s="17" customFormat="1" ht="12.9" customHeight="1"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</row>
    <row r="75" spans="4:52" s="17" customFormat="1" ht="12.9" customHeight="1"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</row>
    <row r="76" spans="4:52" s="17" customFormat="1" ht="12.9" customHeight="1"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</row>
    <row r="77" spans="4:52" s="17" customFormat="1" ht="12.9" customHeight="1"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</row>
    <row r="78" spans="4:52" s="17" customFormat="1" ht="12.9" customHeight="1"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</row>
    <row r="79" spans="4:52" s="17" customFormat="1" ht="12.9" customHeight="1"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</row>
    <row r="80" spans="4:52" s="17" customFormat="1" ht="12.9" customHeight="1"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</row>
    <row r="81" spans="4:52" s="17" customFormat="1" ht="12.9" customHeight="1"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</row>
    <row r="82" spans="4:52" s="17" customFormat="1" ht="12.9" customHeight="1"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</row>
    <row r="83" spans="4:52" s="17" customFormat="1" ht="12.9" customHeight="1"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</row>
    <row r="84" spans="4:52" s="17" customFormat="1" ht="12.9" customHeight="1"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</row>
    <row r="85" spans="4:52" s="17" customFormat="1" ht="12.9" customHeight="1"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</row>
    <row r="86" spans="4:52" s="17" customFormat="1" ht="12.9" customHeight="1"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</row>
    <row r="87" spans="4:52" s="17" customFormat="1" ht="12.9" customHeight="1"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</row>
    <row r="88" spans="4:52" s="17" customFormat="1" ht="12.9" customHeight="1"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</row>
    <row r="89" spans="4:52" s="17" customFormat="1" ht="12.9" customHeight="1"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</row>
    <row r="90" spans="4:52" s="17" customFormat="1" ht="12.9" customHeight="1"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</row>
    <row r="91" spans="4:52" s="17" customFormat="1" ht="12.9" customHeight="1"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</row>
    <row r="92" spans="4:52" s="17" customFormat="1" ht="12.9" customHeight="1"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</row>
    <row r="93" spans="4:52" s="17" customFormat="1" ht="12.9" customHeight="1"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</row>
    <row r="94" spans="4:52" s="17" customFormat="1" ht="12.9" customHeight="1"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</row>
    <row r="95" spans="4:52" s="17" customFormat="1" ht="12.9" customHeight="1"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</row>
    <row r="96" spans="4:52" s="17" customFormat="1" ht="12.9" customHeight="1"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</row>
    <row r="97" spans="4:52" s="17" customFormat="1" ht="12.9" customHeight="1"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</row>
    <row r="98" spans="4:52" s="17" customFormat="1" ht="12.9" customHeight="1"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</row>
    <row r="99" spans="4:52" s="17" customFormat="1" ht="12.9" customHeight="1"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</row>
    <row r="100" spans="4:52" s="17" customFormat="1" ht="12.9" customHeight="1"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</row>
    <row r="101" spans="4:52" s="17" customFormat="1" ht="12.9" customHeight="1"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</row>
    <row r="102" spans="4:52" s="17" customFormat="1" ht="12.9" customHeight="1"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</row>
    <row r="103" spans="4:52" s="17" customFormat="1" ht="12.9" customHeight="1"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</row>
    <row r="104" spans="4:52" s="17" customFormat="1" ht="12.9" customHeight="1"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</row>
    <row r="105" spans="4:52" s="17" customFormat="1" ht="12.9" customHeight="1"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</row>
    <row r="106" spans="4:52" s="17" customFormat="1" ht="12.9" customHeight="1"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</row>
    <row r="107" spans="4:52" s="17" customFormat="1" ht="12.9" customHeight="1"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</row>
    <row r="108" spans="4:52" s="17" customFormat="1" ht="12.9" customHeight="1"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</row>
    <row r="109" spans="4:52" s="17" customFormat="1" ht="12.9" customHeight="1"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</row>
    <row r="110" spans="4:52" s="17" customFormat="1" ht="12.9" customHeight="1"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</row>
    <row r="111" spans="4:52" s="17" customFormat="1" ht="12.9" customHeight="1"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</row>
    <row r="112" spans="4:52" s="17" customFormat="1" ht="12.9" customHeight="1"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</row>
    <row r="113" spans="4:52" s="17" customFormat="1" ht="12.9" customHeight="1"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</row>
    <row r="114" spans="4:52" s="17" customFormat="1" ht="12.9" customHeight="1"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</row>
    <row r="115" spans="4:52" s="17" customFormat="1" ht="12.9" customHeight="1"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</row>
    <row r="116" spans="4:52" s="17" customFormat="1" ht="12.9" customHeight="1"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</row>
    <row r="117" spans="4:52" s="17" customFormat="1" ht="12.9" customHeight="1"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</row>
    <row r="118" spans="4:52" s="17" customFormat="1" ht="12.9" customHeight="1"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</row>
    <row r="119" spans="4:52" s="17" customFormat="1" ht="12.9" customHeight="1"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</row>
    <row r="120" spans="4:52" s="17" customFormat="1" ht="12.9" customHeight="1"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</row>
    <row r="121" spans="4:52" s="17" customFormat="1" ht="12.9" customHeight="1"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</row>
    <row r="122" spans="4:52" s="17" customFormat="1" ht="12.9" customHeight="1"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</row>
    <row r="123" spans="4:52" s="17" customFormat="1" ht="12.9" customHeight="1"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</row>
    <row r="124" spans="4:52" s="17" customFormat="1" ht="12.9" customHeight="1"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</row>
    <row r="125" spans="4:52" s="17" customFormat="1" ht="12.9" customHeight="1"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</row>
    <row r="126" spans="4:52" s="17" customFormat="1" ht="12.9" customHeight="1"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</row>
    <row r="127" spans="4:52" s="17" customFormat="1" ht="12.9" customHeight="1"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</row>
    <row r="128" spans="4:52" s="17" customFormat="1" ht="12.9" customHeight="1"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</row>
    <row r="129" spans="4:52" s="17" customFormat="1" ht="12.9" customHeight="1"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</row>
    <row r="130" spans="4:52" s="17" customFormat="1" ht="12.9" customHeight="1"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</row>
    <row r="131" spans="4:52" s="17" customFormat="1" ht="12.9" customHeight="1"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</row>
    <row r="132" spans="4:52" s="17" customFormat="1" ht="12.9" customHeight="1"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</row>
    <row r="133" spans="4:52" s="17" customFormat="1" ht="12.9" customHeight="1"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</row>
    <row r="134" spans="4:52" s="17" customFormat="1" ht="12.9" customHeight="1"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</row>
    <row r="135" spans="4:52" s="17" customFormat="1" ht="12.9" customHeight="1"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</row>
    <row r="136" spans="4:52" s="17" customFormat="1" ht="12.9" customHeight="1"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</row>
    <row r="137" spans="4:52" s="17" customFormat="1" ht="12.9" customHeight="1"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</row>
    <row r="138" spans="4:52" s="17" customFormat="1" ht="12.9" customHeight="1"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</row>
    <row r="139" spans="4:52" s="17" customFormat="1" ht="12.9" customHeight="1"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</row>
    <row r="140" spans="4:52" s="17" customFormat="1" ht="12.9" customHeight="1"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</row>
    <row r="141" spans="4:52" s="17" customFormat="1" ht="12.9" customHeight="1"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</row>
    <row r="142" spans="4:52" s="17" customFormat="1" ht="12.9" customHeight="1"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</row>
    <row r="143" spans="4:52" s="17" customFormat="1" ht="12.9" customHeight="1"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</row>
    <row r="144" spans="4:52" s="17" customFormat="1" ht="12.9" customHeight="1"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</row>
    <row r="145" spans="4:52" s="17" customFormat="1" ht="12.9" customHeight="1"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</row>
    <row r="146" spans="4:52" s="17" customFormat="1" ht="12.9" customHeight="1"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</row>
    <row r="147" spans="4:52" s="17" customFormat="1" ht="12.9" customHeight="1"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</row>
    <row r="148" spans="4:52" s="17" customFormat="1" ht="12.9" customHeight="1"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</row>
    <row r="149" spans="4:52" s="17" customFormat="1" ht="12.9" customHeight="1"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</row>
    <row r="150" spans="4:52" s="17" customFormat="1" ht="12.9" customHeight="1"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</row>
    <row r="151" spans="4:52" s="17" customFormat="1" ht="12.9" customHeight="1"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</row>
    <row r="152" spans="4:52" s="17" customFormat="1" ht="12.9" customHeight="1"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</row>
    <row r="153" spans="4:52" s="17" customFormat="1" ht="12.9" customHeight="1"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</row>
    <row r="154" spans="4:52" s="17" customFormat="1" ht="12.9" customHeight="1"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</row>
    <row r="155" spans="4:52" s="17" customFormat="1" ht="12.9" customHeight="1"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</row>
    <row r="156" spans="4:52" s="17" customFormat="1" ht="12.9" customHeight="1"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</row>
    <row r="157" spans="4:52" s="17" customFormat="1" ht="12.9" customHeight="1"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</row>
    <row r="158" spans="4:52" s="17" customFormat="1" ht="12.9" customHeight="1"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</row>
    <row r="159" spans="4:52" s="17" customFormat="1" ht="12.9" customHeight="1"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</row>
    <row r="160" spans="4:52" s="17" customFormat="1" ht="12.9" customHeight="1"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</row>
    <row r="161" spans="4:52" s="17" customFormat="1" ht="12.9" customHeight="1"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</row>
    <row r="162" spans="4:52" s="17" customFormat="1" ht="12.9" customHeight="1"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</row>
    <row r="163" spans="4:52" s="17" customFormat="1" ht="12.9" customHeight="1"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</row>
    <row r="164" spans="4:52" s="17" customFormat="1" ht="12.9" customHeight="1"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</row>
    <row r="165" spans="4:52" s="17" customFormat="1" ht="12.9" customHeight="1"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</row>
    <row r="166" spans="4:52" s="17" customFormat="1" ht="12.9" customHeight="1"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</row>
    <row r="167" spans="4:52" s="17" customFormat="1" ht="12.9" customHeight="1"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</row>
    <row r="168" spans="4:52" s="17" customFormat="1" ht="12.9" customHeight="1"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</row>
    <row r="169" spans="4:52" s="17" customFormat="1" ht="12.9" customHeight="1"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</row>
    <row r="170" spans="4:52" s="17" customFormat="1" ht="12.9" customHeight="1"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</row>
    <row r="171" spans="4:52" s="17" customFormat="1" ht="12.9" customHeight="1"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</row>
    <row r="172" spans="4:52" s="17" customFormat="1" ht="12.9" customHeight="1"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</row>
    <row r="173" spans="4:52" s="17" customFormat="1" ht="12.9" customHeight="1"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</row>
    <row r="174" spans="4:52" s="17" customFormat="1" ht="12.9" customHeight="1"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</row>
    <row r="175" spans="4:52" s="17" customFormat="1" ht="12.9" customHeight="1"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</row>
    <row r="176" spans="4:52" s="17" customFormat="1" ht="12.9" customHeight="1"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</row>
    <row r="177" spans="4:52" s="17" customFormat="1" ht="12.9" customHeight="1"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</row>
    <row r="178" spans="4:52" s="17" customFormat="1" ht="12.9" customHeight="1"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</row>
    <row r="179" spans="4:52" s="17" customFormat="1" ht="12.9" customHeight="1"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</row>
    <row r="180" spans="4:52" s="17" customFormat="1" ht="12.9" customHeight="1"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</row>
    <row r="181" spans="4:52" s="17" customFormat="1" ht="12.9" customHeight="1"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</row>
    <row r="182" spans="4:52" s="17" customFormat="1" ht="12.9" customHeight="1"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</row>
    <row r="183" spans="4:52" s="17" customFormat="1" ht="12.9" customHeight="1"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</row>
    <row r="184" spans="4:52" s="17" customFormat="1" ht="12.9" customHeight="1"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</row>
    <row r="185" spans="4:52" s="17" customFormat="1" ht="12.9" customHeight="1"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</row>
    <row r="186" spans="4:52" s="17" customFormat="1" ht="12.9" customHeight="1"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</row>
    <row r="187" spans="4:52" s="17" customFormat="1" ht="12.9" customHeight="1"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</row>
    <row r="188" spans="4:52" s="17" customFormat="1" ht="12.9" customHeight="1"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</row>
    <row r="189" spans="4:52" s="17" customFormat="1" ht="12.9" customHeight="1"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</row>
    <row r="190" spans="4:52" s="17" customFormat="1" ht="12.9" customHeight="1"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</row>
    <row r="191" spans="4:52" s="17" customFormat="1" ht="12.9" customHeight="1"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</row>
    <row r="192" spans="4:52" s="17" customFormat="1" ht="12.9" customHeight="1"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</row>
    <row r="193" spans="4:52" s="17" customFormat="1" ht="12.9" customHeight="1"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</row>
    <row r="194" spans="4:52" s="17" customFormat="1" ht="12.9" customHeight="1"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</row>
    <row r="195" spans="4:52" s="17" customFormat="1" ht="12.9" customHeight="1"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</row>
    <row r="196" spans="4:52" s="17" customFormat="1" ht="12.9" customHeight="1"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</row>
    <row r="197" spans="4:52" s="17" customFormat="1" ht="12.9" customHeight="1"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</row>
    <row r="198" spans="4:52" s="17" customFormat="1" ht="12.9" customHeight="1"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</row>
    <row r="199" spans="4:52" s="17" customFormat="1" ht="12.9" customHeight="1"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</row>
    <row r="200" spans="4:52" s="17" customFormat="1" ht="12.9" customHeight="1"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</row>
    <row r="201" spans="4:52" s="17" customFormat="1" ht="12.9" customHeight="1"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</row>
    <row r="202" spans="4:52" s="17" customFormat="1" ht="12.9" customHeight="1"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</row>
    <row r="203" spans="4:52" s="17" customFormat="1" ht="12.9" customHeight="1"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</row>
    <row r="204" spans="4:52" s="17" customFormat="1" ht="12.9" customHeight="1"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</row>
    <row r="205" spans="4:52" s="17" customFormat="1" ht="12.9" customHeight="1"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</row>
    <row r="206" spans="4:52" s="17" customFormat="1" ht="12.9" customHeight="1"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</row>
    <row r="207" spans="4:52" s="17" customFormat="1" ht="12.9" customHeight="1"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</row>
    <row r="208" spans="4:52" s="17" customFormat="1" ht="12.9" customHeight="1"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</row>
    <row r="209" spans="4:52" s="17" customFormat="1" ht="12.9" customHeight="1"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</row>
    <row r="210" spans="4:52" s="17" customFormat="1" ht="12.9" customHeight="1"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</row>
    <row r="211" spans="4:52" s="17" customFormat="1" ht="12.9" customHeight="1"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</row>
    <row r="212" spans="4:52" s="17" customFormat="1" ht="12.9" customHeight="1"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</row>
    <row r="213" spans="4:52" s="17" customFormat="1" ht="12.9" customHeight="1"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</row>
    <row r="214" spans="4:52" s="17" customFormat="1" ht="12.9" customHeight="1"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</row>
    <row r="215" spans="4:52" s="17" customFormat="1" ht="12.9" customHeight="1"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</row>
    <row r="216" spans="4:52" s="17" customFormat="1" ht="12.9" customHeight="1"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</row>
    <row r="217" spans="4:52" s="17" customFormat="1" ht="12.9" customHeight="1"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</row>
    <row r="218" spans="4:52" s="17" customFormat="1" ht="12.9" customHeight="1"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</row>
    <row r="219" spans="4:52" s="17" customFormat="1" ht="12.9" customHeight="1"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</row>
    <row r="220" spans="4:52" s="17" customFormat="1" ht="12.9" customHeight="1"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</row>
    <row r="221" spans="4:52" s="17" customFormat="1" ht="12.9" customHeight="1"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</row>
    <row r="222" spans="4:52" s="17" customFormat="1" ht="12.9" customHeight="1"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</row>
    <row r="223" spans="4:52" s="17" customFormat="1" ht="12.9" customHeight="1"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</row>
    <row r="224" spans="4:52" s="17" customFormat="1" ht="12.9" customHeight="1"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</row>
    <row r="225" spans="4:52" s="17" customFormat="1" ht="12.9" customHeight="1"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</row>
    <row r="226" spans="4:52" s="17" customFormat="1" ht="12.9" customHeight="1"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</row>
    <row r="227" spans="4:52" s="17" customFormat="1" ht="12.9" customHeight="1"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</row>
    <row r="228" spans="4:52" s="17" customFormat="1" ht="12.9" customHeight="1"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</row>
    <row r="229" spans="4:52" s="17" customFormat="1" ht="12.9" customHeight="1"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</row>
    <row r="230" spans="4:52" s="17" customFormat="1" ht="12.9" customHeight="1"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</row>
    <row r="231" spans="4:52" s="17" customFormat="1" ht="12.9" customHeight="1"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</row>
    <row r="232" spans="4:52" s="17" customFormat="1" ht="12.9" customHeight="1"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</row>
    <row r="233" spans="4:52" s="17" customFormat="1" ht="12.9" customHeight="1"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</row>
    <row r="234" spans="4:52" s="17" customFormat="1" ht="12.9" customHeight="1"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</row>
    <row r="235" spans="4:52" s="17" customFormat="1" ht="12.9" customHeight="1"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</row>
    <row r="236" spans="4:52" s="17" customFormat="1" ht="12.9" customHeight="1"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</row>
    <row r="237" spans="4:52" s="17" customFormat="1" ht="12.9" customHeight="1"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</row>
    <row r="238" spans="4:52" s="17" customFormat="1" ht="12.9" customHeight="1"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</row>
    <row r="239" spans="4:52" s="17" customFormat="1" ht="12.9" customHeight="1"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</row>
    <row r="240" spans="4:52" s="17" customFormat="1" ht="12.9" customHeight="1"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</row>
    <row r="241" spans="4:52" s="17" customFormat="1" ht="12.9" customHeight="1"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</row>
    <row r="242" spans="4:52" s="17" customFormat="1" ht="12.9" customHeight="1"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</row>
    <row r="243" spans="4:52" s="17" customFormat="1" ht="12.9" customHeight="1"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</row>
    <row r="244" spans="4:52" s="17" customFormat="1" ht="12.9" customHeight="1"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</row>
    <row r="245" spans="4:52" s="17" customFormat="1" ht="12.9" customHeight="1"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</row>
    <row r="246" spans="4:52" s="17" customFormat="1" ht="12.9" customHeight="1"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</row>
    <row r="247" spans="4:52" s="17" customFormat="1" ht="12.9" customHeight="1"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</row>
    <row r="248" spans="4:52" s="17" customFormat="1" ht="12.9" customHeight="1"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</row>
    <row r="249" spans="4:52" s="17" customFormat="1" ht="12.9" customHeight="1"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</row>
    <row r="250" spans="4:52" s="17" customFormat="1" ht="12.9" customHeight="1"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</row>
    <row r="251" spans="4:52" s="17" customFormat="1" ht="12.9" customHeight="1"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</row>
    <row r="252" spans="4:52" s="17" customFormat="1" ht="12.9" customHeight="1"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</row>
    <row r="253" spans="4:52" s="17" customFormat="1" ht="12.9" customHeight="1"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</row>
    <row r="254" spans="4:52" s="17" customFormat="1" ht="12.9" customHeight="1"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</row>
    <row r="255" spans="4:52" s="17" customFormat="1" ht="12.9" customHeight="1"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</row>
    <row r="256" spans="4:52" s="17" customFormat="1" ht="12.9" customHeight="1"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</row>
    <row r="257" spans="4:52" s="17" customFormat="1" ht="12.9" customHeight="1"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</row>
    <row r="258" spans="4:52" s="17" customFormat="1" ht="12.9" customHeight="1"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</row>
    <row r="259" spans="4:52" s="17" customFormat="1" ht="12.9" customHeight="1"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</row>
    <row r="260" spans="4:52" s="17" customFormat="1" ht="12.9" customHeight="1"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</row>
    <row r="261" spans="4:52" s="17" customFormat="1" ht="12.9" customHeight="1"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</row>
    <row r="262" spans="4:52" s="17" customFormat="1" ht="12.9" customHeight="1"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</row>
    <row r="263" spans="4:52" s="17" customFormat="1" ht="12.9" customHeight="1"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</row>
    <row r="264" spans="4:52" s="17" customFormat="1" ht="12.9" customHeight="1"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</row>
    <row r="265" spans="4:52" s="17" customFormat="1" ht="12.9" customHeight="1"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</row>
    <row r="266" spans="4:52" s="17" customFormat="1" ht="12.9" customHeight="1"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</row>
    <row r="267" spans="4:52" s="17" customFormat="1" ht="12.9" customHeight="1"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</row>
    <row r="268" spans="4:52" s="17" customFormat="1" ht="12.9" customHeight="1"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</row>
    <row r="269" spans="4:52" s="17" customFormat="1" ht="12.9" customHeight="1"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</row>
    <row r="270" spans="4:52" s="17" customFormat="1" ht="12.9" customHeight="1"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</row>
    <row r="271" spans="4:52" s="17" customFormat="1" ht="12.9" customHeight="1"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</row>
    <row r="272" spans="4:52" s="17" customFormat="1" ht="12.9" customHeight="1"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</row>
    <row r="273" spans="4:52" s="17" customFormat="1" ht="12.9" customHeight="1"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</row>
    <row r="274" spans="4:52" s="17" customFormat="1" ht="12.9" customHeight="1"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</row>
    <row r="275" spans="4:52" s="17" customFormat="1" ht="12.9" customHeight="1"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</row>
  </sheetData>
  <sheetProtection algorithmName="SHA-512" hashValue="PE5UEiddvBARk1tOmled4xxEwCuxRnpl8Tp/d70DXkW0EpEODoNBMaXeGNc7m2OD8Hb/9/+XjaG2elHd9cZr4A==" saltValue="zP6nckYA+qqOYs31zngW5w==" spinCount="100000" sheet="1" objects="1" scenarios="1" formatCells="0"/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8"/>
  <sheetViews>
    <sheetView zoomScale="80" zoomScaleNormal="80" workbookViewId="0">
      <selection activeCell="F53" sqref="F53"/>
    </sheetView>
  </sheetViews>
  <sheetFormatPr defaultColWidth="8.81640625" defaultRowHeight="14.5"/>
  <cols>
    <col min="1" max="1" width="2.81640625" bestFit="1" customWidth="1"/>
    <col min="2" max="2" width="2.81640625" customWidth="1"/>
    <col min="3" max="3" width="13.6328125" style="52" customWidth="1"/>
    <col min="4" max="4" width="7.1796875" style="48" customWidth="1"/>
    <col min="5" max="5" width="49" style="52" customWidth="1"/>
    <col min="6" max="6" width="17.1796875" bestFit="1" customWidth="1"/>
    <col min="7" max="7" width="11.453125" customWidth="1"/>
    <col min="8" max="8" width="11" customWidth="1"/>
    <col min="9" max="9" width="11.453125" customWidth="1"/>
    <col min="10" max="10" width="11.453125" style="47" customWidth="1"/>
    <col min="12" max="12" width="3" style="47" customWidth="1"/>
    <col min="13" max="13" width="14.1796875" style="54" customWidth="1"/>
    <col min="14" max="14" width="10.6328125" style="54" customWidth="1"/>
    <col min="15" max="15" width="12.6328125" style="54" customWidth="1"/>
    <col min="16" max="16" width="9.6328125" style="54" customWidth="1"/>
    <col min="17" max="17" width="4.81640625" style="54" customWidth="1"/>
    <col min="18" max="18" width="11.81640625" style="54" customWidth="1"/>
    <col min="19" max="20" width="8.81640625" style="54"/>
    <col min="21" max="21" width="8.81640625" style="47"/>
  </cols>
  <sheetData>
    <row r="1" spans="1:21" ht="39">
      <c r="A1" s="227" t="s">
        <v>116</v>
      </c>
      <c r="B1" s="228"/>
      <c r="C1" s="229"/>
      <c r="D1" s="79" t="s">
        <v>129</v>
      </c>
      <c r="E1" s="80" t="s">
        <v>130</v>
      </c>
      <c r="F1" s="55" t="s">
        <v>131</v>
      </c>
      <c r="G1" s="56" t="s">
        <v>148</v>
      </c>
      <c r="H1" s="57" t="s">
        <v>126</v>
      </c>
      <c r="I1" s="57" t="s">
        <v>120</v>
      </c>
      <c r="J1" s="57" t="s">
        <v>127</v>
      </c>
      <c r="K1" s="49" t="s">
        <v>119</v>
      </c>
      <c r="L1" s="51"/>
      <c r="M1" s="67" t="s">
        <v>123</v>
      </c>
      <c r="N1" s="67" t="s">
        <v>122</v>
      </c>
      <c r="O1" s="67" t="s">
        <v>121</v>
      </c>
      <c r="P1" s="66" t="s">
        <v>124</v>
      </c>
      <c r="Q1" s="53"/>
      <c r="R1" s="68" t="s">
        <v>140</v>
      </c>
      <c r="S1" s="69" t="s">
        <v>141</v>
      </c>
      <c r="T1" s="69" t="s">
        <v>142</v>
      </c>
      <c r="U1" s="68" t="s">
        <v>139</v>
      </c>
    </row>
    <row r="2" spans="1:21" s="52" customFormat="1">
      <c r="A2" s="222" t="s">
        <v>201</v>
      </c>
      <c r="B2" s="223" t="s">
        <v>76</v>
      </c>
      <c r="C2" s="223" t="s">
        <v>202</v>
      </c>
      <c r="D2" s="88">
        <v>1</v>
      </c>
      <c r="E2" s="175" t="s">
        <v>203</v>
      </c>
      <c r="F2" s="179" t="s">
        <v>146</v>
      </c>
      <c r="G2" s="178">
        <v>2</v>
      </c>
      <c r="H2" s="99">
        <f t="shared" ref="H2:H45" si="0">IF(F2="Y",5,2)</f>
        <v>5</v>
      </c>
      <c r="I2" s="99">
        <f t="shared" ref="I2:I45" si="1">IF(G2=1,5,IF(G2=2,4,IF(G2=3,3)))</f>
        <v>4</v>
      </c>
      <c r="J2" s="177">
        <f t="shared" ref="J2:J45" si="2">SUM(H2:I2)</f>
        <v>9</v>
      </c>
      <c r="K2" s="176">
        <f t="shared" ref="K2:K45" si="3">100/390*J2</f>
        <v>2.3076923076923075</v>
      </c>
      <c r="L2" s="83"/>
      <c r="M2" s="84" t="s">
        <v>102</v>
      </c>
      <c r="N2" s="84">
        <v>5</v>
      </c>
      <c r="O2" s="84">
        <v>1</v>
      </c>
      <c r="P2" s="85">
        <v>5</v>
      </c>
      <c r="Q2" s="86"/>
      <c r="R2" s="84">
        <v>1</v>
      </c>
      <c r="S2" s="84">
        <v>0</v>
      </c>
      <c r="T2" s="84">
        <v>50</v>
      </c>
      <c r="U2" s="87" t="s">
        <v>143</v>
      </c>
    </row>
    <row r="3" spans="1:21" s="52" customFormat="1">
      <c r="A3" s="222"/>
      <c r="B3" s="223"/>
      <c r="C3" s="223"/>
      <c r="D3" s="88">
        <v>2</v>
      </c>
      <c r="E3" s="174" t="s">
        <v>204</v>
      </c>
      <c r="F3" s="173" t="s">
        <v>147</v>
      </c>
      <c r="G3" s="172">
        <v>2</v>
      </c>
      <c r="H3" s="98">
        <f t="shared" si="0"/>
        <v>2</v>
      </c>
      <c r="I3" s="180">
        <f t="shared" si="1"/>
        <v>4</v>
      </c>
      <c r="J3" s="171">
        <f t="shared" si="2"/>
        <v>6</v>
      </c>
      <c r="K3" s="170">
        <f t="shared" si="3"/>
        <v>1.5384615384615383</v>
      </c>
      <c r="L3" s="83"/>
      <c r="M3" s="84" t="s">
        <v>125</v>
      </c>
      <c r="N3" s="84">
        <v>2</v>
      </c>
      <c r="O3" s="84">
        <v>2</v>
      </c>
      <c r="P3" s="85">
        <v>4</v>
      </c>
      <c r="Q3" s="86"/>
      <c r="R3" s="84">
        <v>2</v>
      </c>
      <c r="S3" s="84">
        <v>51</v>
      </c>
      <c r="T3" s="84">
        <v>79</v>
      </c>
      <c r="U3" s="87" t="s">
        <v>144</v>
      </c>
    </row>
    <row r="4" spans="1:21" s="52" customFormat="1">
      <c r="A4" s="222"/>
      <c r="B4" s="223"/>
      <c r="C4" s="223"/>
      <c r="D4" s="88">
        <v>3</v>
      </c>
      <c r="E4" s="174" t="s">
        <v>205</v>
      </c>
      <c r="F4" s="173" t="s">
        <v>146</v>
      </c>
      <c r="G4" s="172">
        <v>1</v>
      </c>
      <c r="H4" s="98">
        <f t="shared" si="0"/>
        <v>5</v>
      </c>
      <c r="I4" s="180">
        <f t="shared" si="1"/>
        <v>5</v>
      </c>
      <c r="J4" s="171">
        <f t="shared" si="2"/>
        <v>10</v>
      </c>
      <c r="K4" s="170">
        <f t="shared" si="3"/>
        <v>2.5641025641025639</v>
      </c>
      <c r="L4" s="83"/>
      <c r="M4" s="84"/>
      <c r="N4" s="84"/>
      <c r="O4" s="84">
        <v>3</v>
      </c>
      <c r="P4" s="89">
        <v>3</v>
      </c>
      <c r="Q4" s="90"/>
      <c r="R4" s="91">
        <v>3</v>
      </c>
      <c r="S4" s="92">
        <v>80</v>
      </c>
      <c r="T4" s="92">
        <v>100</v>
      </c>
      <c r="U4" s="93" t="s">
        <v>145</v>
      </c>
    </row>
    <row r="5" spans="1:21" s="52" customFormat="1" ht="29">
      <c r="A5" s="222"/>
      <c r="B5" s="223"/>
      <c r="C5" s="223"/>
      <c r="D5" s="88">
        <v>4</v>
      </c>
      <c r="E5" s="174" t="s">
        <v>206</v>
      </c>
      <c r="F5" s="173" t="s">
        <v>146</v>
      </c>
      <c r="G5" s="172">
        <v>2</v>
      </c>
      <c r="H5" s="98">
        <f t="shared" si="0"/>
        <v>5</v>
      </c>
      <c r="I5" s="98">
        <f t="shared" si="1"/>
        <v>4</v>
      </c>
      <c r="J5" s="171">
        <f t="shared" si="2"/>
        <v>9</v>
      </c>
      <c r="K5" s="170">
        <f t="shared" si="3"/>
        <v>2.3076923076923075</v>
      </c>
      <c r="L5" s="83"/>
      <c r="M5" s="86"/>
      <c r="N5" s="86"/>
      <c r="O5" s="86"/>
      <c r="P5" s="94"/>
      <c r="Q5" s="140"/>
      <c r="R5" s="140"/>
      <c r="S5" s="86"/>
      <c r="T5" s="86"/>
      <c r="U5" s="83"/>
    </row>
    <row r="6" spans="1:21" s="52" customFormat="1" ht="29">
      <c r="A6" s="222"/>
      <c r="B6" s="223"/>
      <c r="C6" s="223"/>
      <c r="D6" s="88">
        <v>5</v>
      </c>
      <c r="E6" s="174" t="s">
        <v>207</v>
      </c>
      <c r="F6" s="173" t="s">
        <v>146</v>
      </c>
      <c r="G6" s="172">
        <v>2</v>
      </c>
      <c r="H6" s="98">
        <f t="shared" si="0"/>
        <v>5</v>
      </c>
      <c r="I6" s="98">
        <f t="shared" si="1"/>
        <v>4</v>
      </c>
      <c r="J6" s="171">
        <f t="shared" si="2"/>
        <v>9</v>
      </c>
      <c r="K6" s="170">
        <f t="shared" si="3"/>
        <v>2.3076923076923075</v>
      </c>
      <c r="L6" s="83"/>
      <c r="M6" s="86"/>
      <c r="N6" s="86"/>
      <c r="O6" s="86"/>
      <c r="P6" s="86"/>
      <c r="Q6" s="86"/>
      <c r="R6" s="95"/>
      <c r="S6" s="86"/>
      <c r="T6" s="86"/>
      <c r="U6" s="83"/>
    </row>
    <row r="7" spans="1:21" s="52" customFormat="1" ht="29">
      <c r="A7" s="222"/>
      <c r="B7" s="223"/>
      <c r="C7" s="223"/>
      <c r="D7" s="88">
        <v>6</v>
      </c>
      <c r="E7" s="174" t="s">
        <v>208</v>
      </c>
      <c r="F7" s="173" t="s">
        <v>146</v>
      </c>
      <c r="G7" s="172">
        <v>3</v>
      </c>
      <c r="H7" s="98">
        <f t="shared" si="0"/>
        <v>5</v>
      </c>
      <c r="I7" s="98">
        <f t="shared" si="1"/>
        <v>3</v>
      </c>
      <c r="J7" s="171">
        <f t="shared" si="2"/>
        <v>8</v>
      </c>
      <c r="K7" s="170">
        <f t="shared" si="3"/>
        <v>2.0512820512820511</v>
      </c>
      <c r="L7" s="83"/>
      <c r="M7" s="86"/>
      <c r="N7" s="86"/>
      <c r="O7" s="86"/>
      <c r="P7" s="86"/>
      <c r="Q7" s="86"/>
      <c r="R7" s="95"/>
      <c r="S7" s="86"/>
      <c r="T7" s="86"/>
      <c r="U7" s="83"/>
    </row>
    <row r="8" spans="1:21" s="52" customFormat="1">
      <c r="A8" s="222"/>
      <c r="B8" s="223"/>
      <c r="C8" s="223"/>
      <c r="D8" s="88">
        <v>7</v>
      </c>
      <c r="E8" s="174" t="s">
        <v>209</v>
      </c>
      <c r="F8" s="173" t="s">
        <v>147</v>
      </c>
      <c r="G8" s="172">
        <v>3</v>
      </c>
      <c r="H8" s="98">
        <f t="shared" si="0"/>
        <v>2</v>
      </c>
      <c r="I8" s="98">
        <f t="shared" si="1"/>
        <v>3</v>
      </c>
      <c r="J8" s="171">
        <f t="shared" si="2"/>
        <v>5</v>
      </c>
      <c r="K8" s="170">
        <f t="shared" si="3"/>
        <v>1.2820512820512819</v>
      </c>
      <c r="L8" s="83"/>
      <c r="M8" s="86"/>
      <c r="N8" s="86"/>
      <c r="O8" s="86"/>
      <c r="P8" s="86"/>
      <c r="Q8" s="86"/>
      <c r="R8" s="95"/>
      <c r="S8" s="86"/>
      <c r="T8" s="86"/>
      <c r="U8" s="83"/>
    </row>
    <row r="9" spans="1:21" s="52" customFormat="1" ht="29">
      <c r="A9" s="222"/>
      <c r="B9" s="223"/>
      <c r="C9" s="223"/>
      <c r="D9" s="88">
        <v>8</v>
      </c>
      <c r="E9" s="174" t="s">
        <v>210</v>
      </c>
      <c r="F9" s="173" t="s">
        <v>146</v>
      </c>
      <c r="G9" s="172">
        <v>2</v>
      </c>
      <c r="H9" s="98">
        <f t="shared" si="0"/>
        <v>5</v>
      </c>
      <c r="I9" s="98">
        <f t="shared" si="1"/>
        <v>4</v>
      </c>
      <c r="J9" s="171">
        <f t="shared" si="2"/>
        <v>9</v>
      </c>
      <c r="K9" s="170">
        <f t="shared" si="3"/>
        <v>2.3076923076923075</v>
      </c>
      <c r="L9" s="83"/>
      <c r="M9" s="86"/>
      <c r="N9" s="86"/>
      <c r="O9" s="86"/>
      <c r="P9" s="86"/>
      <c r="Q9" s="86"/>
      <c r="R9" s="95"/>
      <c r="S9" s="86"/>
      <c r="T9" s="86"/>
      <c r="U9" s="83"/>
    </row>
    <row r="10" spans="1:21" s="52" customFormat="1" ht="29">
      <c r="A10" s="222"/>
      <c r="B10" s="223"/>
      <c r="C10" s="223"/>
      <c r="D10" s="88">
        <v>9</v>
      </c>
      <c r="E10" s="174" t="s">
        <v>211</v>
      </c>
      <c r="F10" s="173" t="s">
        <v>146</v>
      </c>
      <c r="G10" s="172">
        <v>2</v>
      </c>
      <c r="H10" s="98">
        <f t="shared" si="0"/>
        <v>5</v>
      </c>
      <c r="I10" s="98">
        <f t="shared" si="1"/>
        <v>4</v>
      </c>
      <c r="J10" s="171">
        <f t="shared" si="2"/>
        <v>9</v>
      </c>
      <c r="K10" s="170">
        <f t="shared" si="3"/>
        <v>2.3076923076923075</v>
      </c>
      <c r="L10" s="83"/>
      <c r="M10" s="86"/>
      <c r="N10" s="86"/>
      <c r="O10" s="86"/>
      <c r="P10" s="86"/>
      <c r="Q10" s="86"/>
      <c r="R10" s="95"/>
      <c r="S10" s="86"/>
      <c r="T10" s="86"/>
      <c r="U10" s="83"/>
    </row>
    <row r="11" spans="1:21" s="52" customFormat="1" ht="29">
      <c r="A11" s="222"/>
      <c r="B11" s="223"/>
      <c r="C11" s="223"/>
      <c r="D11" s="88">
        <v>10</v>
      </c>
      <c r="E11" s="174" t="s">
        <v>212</v>
      </c>
      <c r="F11" s="173" t="s">
        <v>147</v>
      </c>
      <c r="G11" s="172">
        <v>2</v>
      </c>
      <c r="H11" s="98">
        <f t="shared" si="0"/>
        <v>2</v>
      </c>
      <c r="I11" s="98">
        <f t="shared" si="1"/>
        <v>4</v>
      </c>
      <c r="J11" s="171">
        <f t="shared" si="2"/>
        <v>6</v>
      </c>
      <c r="K11" s="170">
        <f t="shared" si="3"/>
        <v>1.5384615384615383</v>
      </c>
      <c r="L11" s="83"/>
      <c r="M11" s="86"/>
      <c r="N11" s="86"/>
      <c r="O11" s="86"/>
      <c r="P11" s="86"/>
      <c r="Q11" s="86"/>
      <c r="R11" s="95"/>
      <c r="S11" s="86"/>
      <c r="T11" s="86"/>
      <c r="U11" s="83"/>
    </row>
    <row r="12" spans="1:21" s="52" customFormat="1">
      <c r="A12" s="222"/>
      <c r="B12" s="223"/>
      <c r="C12" s="223"/>
      <c r="D12" s="88">
        <v>11</v>
      </c>
      <c r="E12" s="174" t="s">
        <v>213</v>
      </c>
      <c r="F12" s="173" t="s">
        <v>146</v>
      </c>
      <c r="G12" s="172">
        <v>2</v>
      </c>
      <c r="H12" s="98">
        <f t="shared" si="0"/>
        <v>5</v>
      </c>
      <c r="I12" s="98">
        <f t="shared" si="1"/>
        <v>4</v>
      </c>
      <c r="J12" s="171">
        <f t="shared" si="2"/>
        <v>9</v>
      </c>
      <c r="K12" s="170">
        <f t="shared" si="3"/>
        <v>2.3076923076923075</v>
      </c>
      <c r="L12" s="83"/>
      <c r="M12" s="86"/>
      <c r="N12" s="86"/>
      <c r="O12" s="86"/>
      <c r="P12" s="86"/>
      <c r="Q12" s="86"/>
      <c r="R12" s="95"/>
      <c r="S12" s="86"/>
      <c r="T12" s="86"/>
      <c r="U12" s="83"/>
    </row>
    <row r="13" spans="1:21" s="52" customFormat="1" ht="29">
      <c r="A13" s="222"/>
      <c r="B13" s="223"/>
      <c r="C13" s="223"/>
      <c r="D13" s="88">
        <v>12</v>
      </c>
      <c r="E13" s="169" t="s">
        <v>214</v>
      </c>
      <c r="F13" s="168" t="s">
        <v>146</v>
      </c>
      <c r="G13" s="167">
        <v>2</v>
      </c>
      <c r="H13" s="100">
        <f t="shared" si="0"/>
        <v>5</v>
      </c>
      <c r="I13" s="100">
        <f t="shared" si="1"/>
        <v>4</v>
      </c>
      <c r="J13" s="93">
        <f t="shared" si="2"/>
        <v>9</v>
      </c>
      <c r="K13" s="166">
        <f t="shared" si="3"/>
        <v>2.3076923076923075</v>
      </c>
      <c r="L13" s="83"/>
      <c r="M13" s="86"/>
      <c r="N13" s="86"/>
      <c r="O13" s="86"/>
      <c r="P13" s="86"/>
      <c r="Q13" s="86"/>
      <c r="R13" s="95"/>
      <c r="S13" s="86"/>
      <c r="T13" s="86"/>
      <c r="U13" s="83"/>
    </row>
    <row r="14" spans="1:21" s="52" customFormat="1" ht="29">
      <c r="A14" s="196" t="s">
        <v>215</v>
      </c>
      <c r="B14" s="223" t="s">
        <v>77</v>
      </c>
      <c r="C14" s="197" t="s">
        <v>216</v>
      </c>
      <c r="D14" s="88">
        <v>13</v>
      </c>
      <c r="E14" s="175" t="s">
        <v>217</v>
      </c>
      <c r="F14" s="179" t="s">
        <v>146</v>
      </c>
      <c r="G14" s="178">
        <v>1</v>
      </c>
      <c r="H14" s="99">
        <f t="shared" si="0"/>
        <v>5</v>
      </c>
      <c r="I14" s="99">
        <f t="shared" si="1"/>
        <v>5</v>
      </c>
      <c r="J14" s="177">
        <f t="shared" si="2"/>
        <v>10</v>
      </c>
      <c r="K14" s="170">
        <f t="shared" si="3"/>
        <v>2.5641025641025639</v>
      </c>
      <c r="L14" s="83"/>
      <c r="M14" s="86"/>
      <c r="N14" s="86"/>
      <c r="O14" s="86"/>
      <c r="P14" s="86"/>
      <c r="Q14" s="86"/>
      <c r="R14" s="95"/>
      <c r="S14" s="86"/>
      <c r="T14" s="86"/>
      <c r="U14" s="83"/>
    </row>
    <row r="15" spans="1:21" s="52" customFormat="1" ht="14" customHeight="1">
      <c r="A15" s="196"/>
      <c r="B15" s="223"/>
      <c r="C15" s="197"/>
      <c r="D15" s="88">
        <v>14</v>
      </c>
      <c r="E15" s="174" t="s">
        <v>218</v>
      </c>
      <c r="F15" s="173" t="s">
        <v>146</v>
      </c>
      <c r="G15" s="172">
        <v>3</v>
      </c>
      <c r="H15" s="98">
        <f t="shared" si="0"/>
        <v>5</v>
      </c>
      <c r="I15" s="98">
        <f t="shared" si="1"/>
        <v>3</v>
      </c>
      <c r="J15" s="171">
        <f t="shared" si="2"/>
        <v>8</v>
      </c>
      <c r="K15" s="170">
        <f t="shared" si="3"/>
        <v>2.0512820512820511</v>
      </c>
      <c r="L15" s="83"/>
      <c r="M15" s="86"/>
      <c r="N15" s="86"/>
      <c r="O15" s="86"/>
      <c r="P15" s="86"/>
      <c r="Q15" s="86"/>
      <c r="R15" s="95"/>
      <c r="S15" s="86"/>
      <c r="T15" s="86"/>
      <c r="U15" s="83"/>
    </row>
    <row r="16" spans="1:21" s="52" customFormat="1" ht="58">
      <c r="A16" s="196"/>
      <c r="B16" s="223"/>
      <c r="C16" s="197"/>
      <c r="D16" s="88">
        <v>15</v>
      </c>
      <c r="E16" s="169" t="s">
        <v>219</v>
      </c>
      <c r="F16" s="168" t="s">
        <v>146</v>
      </c>
      <c r="G16" s="167">
        <v>2</v>
      </c>
      <c r="H16" s="100">
        <f t="shared" si="0"/>
        <v>5</v>
      </c>
      <c r="I16" s="100">
        <f t="shared" si="1"/>
        <v>4</v>
      </c>
      <c r="J16" s="93">
        <f t="shared" si="2"/>
        <v>9</v>
      </c>
      <c r="K16" s="170">
        <f t="shared" si="3"/>
        <v>2.3076923076923075</v>
      </c>
      <c r="L16" s="83"/>
      <c r="M16" s="86"/>
      <c r="N16" s="86"/>
      <c r="O16" s="86"/>
      <c r="P16" s="96"/>
      <c r="Q16" s="96"/>
      <c r="R16" s="86"/>
      <c r="S16" s="86"/>
      <c r="T16" s="86"/>
      <c r="U16" s="83"/>
    </row>
    <row r="17" spans="1:21" s="52" customFormat="1">
      <c r="A17" s="196"/>
      <c r="B17" s="223" t="s">
        <v>78</v>
      </c>
      <c r="C17" s="199" t="s">
        <v>220</v>
      </c>
      <c r="D17" s="88">
        <v>16</v>
      </c>
      <c r="E17" s="175" t="s">
        <v>221</v>
      </c>
      <c r="F17" s="179" t="s">
        <v>146</v>
      </c>
      <c r="G17" s="178">
        <v>1</v>
      </c>
      <c r="H17" s="99">
        <f t="shared" si="0"/>
        <v>5</v>
      </c>
      <c r="I17" s="99">
        <f t="shared" si="1"/>
        <v>5</v>
      </c>
      <c r="J17" s="177">
        <f t="shared" si="2"/>
        <v>10</v>
      </c>
      <c r="K17" s="176">
        <f t="shared" si="3"/>
        <v>2.5641025641025639</v>
      </c>
      <c r="L17" s="83"/>
      <c r="M17" s="86"/>
      <c r="N17" s="86"/>
      <c r="O17" s="86"/>
      <c r="P17" s="97"/>
      <c r="Q17" s="96"/>
      <c r="R17" s="86"/>
      <c r="S17" s="86"/>
      <c r="T17" s="86"/>
      <c r="U17" s="83"/>
    </row>
    <row r="18" spans="1:21" s="52" customFormat="1">
      <c r="A18" s="196"/>
      <c r="B18" s="223"/>
      <c r="C18" s="199"/>
      <c r="D18" s="88">
        <v>17</v>
      </c>
      <c r="E18" s="174" t="s">
        <v>222</v>
      </c>
      <c r="F18" s="173" t="s">
        <v>146</v>
      </c>
      <c r="G18" s="172">
        <v>1</v>
      </c>
      <c r="H18" s="98">
        <f t="shared" si="0"/>
        <v>5</v>
      </c>
      <c r="I18" s="98">
        <f t="shared" si="1"/>
        <v>5</v>
      </c>
      <c r="J18" s="171">
        <f t="shared" si="2"/>
        <v>10</v>
      </c>
      <c r="K18" s="170">
        <f t="shared" si="3"/>
        <v>2.5641025641025639</v>
      </c>
      <c r="L18" s="83"/>
      <c r="M18" s="86"/>
      <c r="N18" s="86"/>
      <c r="O18" s="86"/>
      <c r="P18" s="140"/>
      <c r="Q18" s="140"/>
      <c r="R18" s="140"/>
      <c r="S18" s="86"/>
      <c r="T18" s="86"/>
      <c r="U18" s="83"/>
    </row>
    <row r="19" spans="1:21" s="52" customFormat="1" ht="43.5">
      <c r="A19" s="196"/>
      <c r="B19" s="223"/>
      <c r="C19" s="199"/>
      <c r="D19" s="88">
        <v>18</v>
      </c>
      <c r="E19" s="174" t="s">
        <v>223</v>
      </c>
      <c r="F19" s="173" t="s">
        <v>146</v>
      </c>
      <c r="G19" s="172">
        <v>1</v>
      </c>
      <c r="H19" s="98">
        <f t="shared" si="0"/>
        <v>5</v>
      </c>
      <c r="I19" s="98">
        <f t="shared" si="1"/>
        <v>5</v>
      </c>
      <c r="J19" s="171">
        <f t="shared" si="2"/>
        <v>10</v>
      </c>
      <c r="K19" s="170">
        <f t="shared" si="3"/>
        <v>2.5641025641025639</v>
      </c>
      <c r="L19" s="83"/>
      <c r="M19" s="86"/>
      <c r="N19" s="86"/>
      <c r="O19" s="86"/>
      <c r="P19" s="96"/>
      <c r="Q19" s="86"/>
      <c r="R19" s="95"/>
      <c r="S19" s="86"/>
      <c r="T19" s="86"/>
      <c r="U19" s="83"/>
    </row>
    <row r="20" spans="1:21" s="52" customFormat="1" ht="29">
      <c r="A20" s="196"/>
      <c r="B20" s="223"/>
      <c r="C20" s="199"/>
      <c r="D20" s="88">
        <v>19</v>
      </c>
      <c r="E20" s="174" t="s">
        <v>224</v>
      </c>
      <c r="F20" s="173" t="s">
        <v>146</v>
      </c>
      <c r="G20" s="172">
        <v>2</v>
      </c>
      <c r="H20" s="98">
        <f t="shared" si="0"/>
        <v>5</v>
      </c>
      <c r="I20" s="98">
        <f t="shared" si="1"/>
        <v>4</v>
      </c>
      <c r="J20" s="171">
        <f t="shared" si="2"/>
        <v>9</v>
      </c>
      <c r="K20" s="170">
        <f t="shared" si="3"/>
        <v>2.3076923076923075</v>
      </c>
      <c r="L20" s="83"/>
      <c r="M20" s="86"/>
      <c r="N20" s="86"/>
      <c r="O20" s="86"/>
      <c r="P20" s="96"/>
      <c r="Q20" s="86"/>
      <c r="R20" s="95"/>
      <c r="S20" s="86"/>
      <c r="T20" s="86"/>
      <c r="U20" s="83"/>
    </row>
    <row r="21" spans="1:21" s="52" customFormat="1" ht="14" customHeight="1">
      <c r="A21" s="196"/>
      <c r="B21" s="223"/>
      <c r="C21" s="199"/>
      <c r="D21" s="88">
        <v>20</v>
      </c>
      <c r="E21" s="169" t="s">
        <v>225</v>
      </c>
      <c r="F21" s="168" t="s">
        <v>146</v>
      </c>
      <c r="G21" s="167">
        <v>2</v>
      </c>
      <c r="H21" s="100">
        <f t="shared" si="0"/>
        <v>5</v>
      </c>
      <c r="I21" s="100">
        <f t="shared" si="1"/>
        <v>4</v>
      </c>
      <c r="J21" s="93">
        <f t="shared" si="2"/>
        <v>9</v>
      </c>
      <c r="K21" s="166">
        <f t="shared" si="3"/>
        <v>2.3076923076923075</v>
      </c>
      <c r="L21" s="83"/>
      <c r="M21" s="86"/>
      <c r="N21" s="86"/>
      <c r="O21" s="86"/>
      <c r="P21" s="96"/>
      <c r="Q21" s="86"/>
      <c r="R21" s="95"/>
      <c r="S21" s="86"/>
      <c r="T21" s="86"/>
      <c r="U21" s="83"/>
    </row>
    <row r="22" spans="1:21" s="52" customFormat="1">
      <c r="A22" s="196"/>
      <c r="B22" s="223" t="s">
        <v>79</v>
      </c>
      <c r="C22" s="200" t="s">
        <v>226</v>
      </c>
      <c r="D22" s="88">
        <v>21</v>
      </c>
      <c r="E22" s="175" t="s">
        <v>227</v>
      </c>
      <c r="F22" s="179" t="s">
        <v>146</v>
      </c>
      <c r="G22" s="178">
        <v>1</v>
      </c>
      <c r="H22" s="99">
        <f t="shared" si="0"/>
        <v>5</v>
      </c>
      <c r="I22" s="99">
        <f t="shared" si="1"/>
        <v>5</v>
      </c>
      <c r="J22" s="177">
        <f t="shared" si="2"/>
        <v>10</v>
      </c>
      <c r="K22" s="170">
        <f t="shared" si="3"/>
        <v>2.5641025641025639</v>
      </c>
      <c r="L22" s="83"/>
      <c r="M22" s="86"/>
      <c r="N22" s="86"/>
      <c r="O22" s="86"/>
      <c r="P22" s="86"/>
      <c r="Q22" s="96"/>
      <c r="R22" s="86"/>
      <c r="S22" s="86"/>
      <c r="T22" s="86"/>
      <c r="U22" s="83"/>
    </row>
    <row r="23" spans="1:21" s="52" customFormat="1" ht="29">
      <c r="A23" s="196"/>
      <c r="B23" s="223"/>
      <c r="C23" s="200"/>
      <c r="D23" s="88">
        <v>22</v>
      </c>
      <c r="E23" s="174" t="s">
        <v>228</v>
      </c>
      <c r="F23" s="173" t="s">
        <v>146</v>
      </c>
      <c r="G23" s="172">
        <v>1</v>
      </c>
      <c r="H23" s="98">
        <f t="shared" si="0"/>
        <v>5</v>
      </c>
      <c r="I23" s="98">
        <f t="shared" si="1"/>
        <v>5</v>
      </c>
      <c r="J23" s="171">
        <f t="shared" si="2"/>
        <v>10</v>
      </c>
      <c r="K23" s="170">
        <f t="shared" si="3"/>
        <v>2.5641025641025639</v>
      </c>
      <c r="L23" s="83"/>
      <c r="M23" s="86"/>
      <c r="N23" s="86"/>
      <c r="O23" s="86"/>
      <c r="P23" s="226"/>
      <c r="Q23" s="226"/>
      <c r="R23" s="226"/>
      <c r="S23" s="86"/>
      <c r="T23" s="86"/>
      <c r="U23" s="83"/>
    </row>
    <row r="24" spans="1:21" s="52" customFormat="1">
      <c r="A24" s="196"/>
      <c r="B24" s="223"/>
      <c r="C24" s="200"/>
      <c r="D24" s="88">
        <v>23</v>
      </c>
      <c r="E24" s="174" t="s">
        <v>229</v>
      </c>
      <c r="F24" s="173" t="s">
        <v>146</v>
      </c>
      <c r="G24" s="172">
        <v>1</v>
      </c>
      <c r="H24" s="98">
        <f t="shared" si="0"/>
        <v>5</v>
      </c>
      <c r="I24" s="98">
        <f t="shared" si="1"/>
        <v>5</v>
      </c>
      <c r="J24" s="171">
        <f t="shared" si="2"/>
        <v>10</v>
      </c>
      <c r="K24" s="170">
        <f t="shared" si="3"/>
        <v>2.5641025641025639</v>
      </c>
      <c r="L24" s="83"/>
      <c r="M24" s="86"/>
      <c r="N24" s="86"/>
      <c r="O24" s="86"/>
      <c r="P24" s="140"/>
      <c r="Q24" s="140"/>
      <c r="R24" s="140"/>
      <c r="S24" s="86"/>
      <c r="T24" s="86"/>
      <c r="U24" s="83"/>
    </row>
    <row r="25" spans="1:21" s="52" customFormat="1">
      <c r="A25" s="196"/>
      <c r="B25" s="223"/>
      <c r="C25" s="200"/>
      <c r="D25" s="88">
        <v>24</v>
      </c>
      <c r="E25" s="174" t="s">
        <v>230</v>
      </c>
      <c r="F25" s="173" t="s">
        <v>146</v>
      </c>
      <c r="G25" s="172">
        <v>1</v>
      </c>
      <c r="H25" s="98">
        <f t="shared" si="0"/>
        <v>5</v>
      </c>
      <c r="I25" s="98">
        <f t="shared" si="1"/>
        <v>5</v>
      </c>
      <c r="J25" s="171">
        <f t="shared" si="2"/>
        <v>10</v>
      </c>
      <c r="K25" s="170">
        <f t="shared" si="3"/>
        <v>2.5641025641025639</v>
      </c>
      <c r="L25" s="83"/>
      <c r="M25" s="86"/>
      <c r="N25" s="86"/>
      <c r="O25" s="86"/>
      <c r="P25" s="96"/>
      <c r="Q25" s="96"/>
      <c r="R25" s="95"/>
      <c r="S25" s="86"/>
      <c r="T25" s="86"/>
      <c r="U25" s="83"/>
    </row>
    <row r="26" spans="1:21" s="52" customFormat="1" ht="29">
      <c r="A26" s="196"/>
      <c r="B26" s="223"/>
      <c r="C26" s="200"/>
      <c r="D26" s="88">
        <v>25</v>
      </c>
      <c r="E26" s="174" t="s">
        <v>231</v>
      </c>
      <c r="F26" s="173" t="s">
        <v>146</v>
      </c>
      <c r="G26" s="172">
        <v>1</v>
      </c>
      <c r="H26" s="98">
        <f t="shared" si="0"/>
        <v>5</v>
      </c>
      <c r="I26" s="98">
        <f t="shared" si="1"/>
        <v>5</v>
      </c>
      <c r="J26" s="171">
        <f t="shared" si="2"/>
        <v>10</v>
      </c>
      <c r="K26" s="170">
        <f t="shared" si="3"/>
        <v>2.5641025641025639</v>
      </c>
      <c r="L26" s="83"/>
      <c r="M26" s="86"/>
      <c r="N26" s="86"/>
      <c r="O26" s="86"/>
      <c r="P26" s="96"/>
      <c r="Q26" s="96"/>
      <c r="R26" s="86"/>
      <c r="S26" s="86"/>
      <c r="T26" s="86"/>
      <c r="U26" s="83"/>
    </row>
    <row r="27" spans="1:21" s="52" customFormat="1" ht="29">
      <c r="A27" s="196"/>
      <c r="B27" s="223"/>
      <c r="C27" s="200"/>
      <c r="D27" s="88">
        <v>26</v>
      </c>
      <c r="E27" s="174" t="s">
        <v>232</v>
      </c>
      <c r="F27" s="173" t="s">
        <v>146</v>
      </c>
      <c r="G27" s="172">
        <v>1</v>
      </c>
      <c r="H27" s="98">
        <f t="shared" si="0"/>
        <v>5</v>
      </c>
      <c r="I27" s="98">
        <f t="shared" si="1"/>
        <v>5</v>
      </c>
      <c r="J27" s="171">
        <f t="shared" si="2"/>
        <v>10</v>
      </c>
      <c r="K27" s="170">
        <f t="shared" si="3"/>
        <v>2.5641025641025639</v>
      </c>
      <c r="L27" s="83"/>
      <c r="M27" s="86"/>
      <c r="N27" s="86"/>
      <c r="O27" s="86"/>
      <c r="P27" s="96"/>
      <c r="Q27" s="96"/>
      <c r="R27" s="86"/>
      <c r="S27" s="86"/>
      <c r="T27" s="86"/>
      <c r="U27" s="83"/>
    </row>
    <row r="28" spans="1:21" s="52" customFormat="1" ht="14" customHeight="1">
      <c r="A28" s="196"/>
      <c r="B28" s="223"/>
      <c r="C28" s="200"/>
      <c r="D28" s="88">
        <v>27</v>
      </c>
      <c r="E28" s="174" t="s">
        <v>233</v>
      </c>
      <c r="F28" s="173" t="s">
        <v>146</v>
      </c>
      <c r="G28" s="172">
        <v>1</v>
      </c>
      <c r="H28" s="98">
        <f t="shared" si="0"/>
        <v>5</v>
      </c>
      <c r="I28" s="98">
        <f t="shared" si="1"/>
        <v>5</v>
      </c>
      <c r="J28" s="171">
        <f t="shared" si="2"/>
        <v>10</v>
      </c>
      <c r="K28" s="170">
        <f t="shared" si="3"/>
        <v>2.5641025641025639</v>
      </c>
      <c r="L28" s="83"/>
      <c r="M28" s="86"/>
      <c r="N28" s="86"/>
      <c r="O28" s="86"/>
      <c r="P28" s="96"/>
      <c r="Q28" s="96"/>
      <c r="R28" s="86"/>
      <c r="S28" s="86"/>
      <c r="T28" s="86"/>
      <c r="U28" s="83"/>
    </row>
    <row r="29" spans="1:21" s="52" customFormat="1" ht="29">
      <c r="A29" s="196"/>
      <c r="B29" s="223"/>
      <c r="C29" s="200"/>
      <c r="D29" s="88">
        <v>28</v>
      </c>
      <c r="E29" s="174" t="s">
        <v>234</v>
      </c>
      <c r="F29" s="173" t="s">
        <v>146</v>
      </c>
      <c r="G29" s="172">
        <v>1</v>
      </c>
      <c r="H29" s="98">
        <f t="shared" si="0"/>
        <v>5</v>
      </c>
      <c r="I29" s="98">
        <f t="shared" si="1"/>
        <v>5</v>
      </c>
      <c r="J29" s="171">
        <f t="shared" si="2"/>
        <v>10</v>
      </c>
      <c r="K29" s="170">
        <f t="shared" si="3"/>
        <v>2.5641025641025639</v>
      </c>
      <c r="L29" s="83"/>
      <c r="M29" s="86"/>
      <c r="N29" s="86"/>
      <c r="O29" s="86"/>
      <c r="P29" s="96"/>
      <c r="Q29" s="96"/>
      <c r="R29" s="86"/>
      <c r="S29" s="86"/>
      <c r="T29" s="86"/>
      <c r="U29" s="83"/>
    </row>
    <row r="30" spans="1:21" s="52" customFormat="1" ht="29">
      <c r="A30" s="196"/>
      <c r="B30" s="223"/>
      <c r="C30" s="200"/>
      <c r="D30" s="88">
        <v>29</v>
      </c>
      <c r="E30" s="174" t="s">
        <v>235</v>
      </c>
      <c r="F30" s="173" t="s">
        <v>146</v>
      </c>
      <c r="G30" s="172">
        <v>1</v>
      </c>
      <c r="H30" s="98">
        <f t="shared" si="0"/>
        <v>5</v>
      </c>
      <c r="I30" s="98">
        <f t="shared" si="1"/>
        <v>5</v>
      </c>
      <c r="J30" s="171">
        <f t="shared" si="2"/>
        <v>10</v>
      </c>
      <c r="K30" s="170">
        <f t="shared" si="3"/>
        <v>2.5641025641025639</v>
      </c>
      <c r="L30" s="83"/>
      <c r="M30" s="86"/>
      <c r="N30" s="86"/>
      <c r="O30" s="86"/>
      <c r="P30" s="86"/>
      <c r="Q30" s="86"/>
      <c r="R30" s="86"/>
      <c r="S30" s="86"/>
      <c r="T30" s="86"/>
      <c r="U30" s="83"/>
    </row>
    <row r="31" spans="1:21" s="52" customFormat="1" ht="29">
      <c r="A31" s="196"/>
      <c r="B31" s="223"/>
      <c r="C31" s="200"/>
      <c r="D31" s="88">
        <v>30</v>
      </c>
      <c r="E31" s="169" t="s">
        <v>236</v>
      </c>
      <c r="F31" s="168" t="s">
        <v>146</v>
      </c>
      <c r="G31" s="167">
        <v>1</v>
      </c>
      <c r="H31" s="100">
        <f t="shared" si="0"/>
        <v>5</v>
      </c>
      <c r="I31" s="100">
        <f t="shared" si="1"/>
        <v>5</v>
      </c>
      <c r="J31" s="93">
        <f t="shared" si="2"/>
        <v>10</v>
      </c>
      <c r="K31" s="170">
        <f t="shared" si="3"/>
        <v>2.5641025641025639</v>
      </c>
      <c r="L31" s="83"/>
      <c r="M31" s="86"/>
      <c r="N31" s="86"/>
      <c r="O31" s="86"/>
      <c r="P31" s="86"/>
      <c r="Q31" s="86"/>
      <c r="R31" s="86"/>
      <c r="S31" s="86"/>
      <c r="T31" s="86"/>
      <c r="U31" s="83"/>
    </row>
    <row r="32" spans="1:21" s="52" customFormat="1" ht="43.5">
      <c r="A32" s="196"/>
      <c r="B32" s="230" t="s">
        <v>80</v>
      </c>
      <c r="C32" s="201" t="s">
        <v>237</v>
      </c>
      <c r="D32" s="88">
        <v>31</v>
      </c>
      <c r="E32" s="175" t="s">
        <v>238</v>
      </c>
      <c r="F32" s="179" t="s">
        <v>146</v>
      </c>
      <c r="G32" s="178">
        <v>2</v>
      </c>
      <c r="H32" s="99">
        <f t="shared" si="0"/>
        <v>5</v>
      </c>
      <c r="I32" s="99">
        <f t="shared" si="1"/>
        <v>4</v>
      </c>
      <c r="J32" s="177">
        <f t="shared" si="2"/>
        <v>9</v>
      </c>
      <c r="K32" s="176">
        <f t="shared" si="3"/>
        <v>2.3076923076923075</v>
      </c>
      <c r="L32" s="83"/>
      <c r="M32" s="86"/>
      <c r="N32" s="86"/>
      <c r="O32" s="86"/>
      <c r="P32" s="86"/>
      <c r="Q32" s="86"/>
      <c r="R32" s="86"/>
      <c r="S32" s="86"/>
      <c r="T32" s="86"/>
      <c r="U32" s="83"/>
    </row>
    <row r="33" spans="1:21" s="52" customFormat="1" ht="29">
      <c r="A33" s="196"/>
      <c r="B33" s="231"/>
      <c r="C33" s="202"/>
      <c r="D33" s="88">
        <v>32</v>
      </c>
      <c r="E33" s="174" t="s">
        <v>239</v>
      </c>
      <c r="F33" s="173" t="s">
        <v>146</v>
      </c>
      <c r="G33" s="172">
        <v>2</v>
      </c>
      <c r="H33" s="98">
        <f t="shared" si="0"/>
        <v>5</v>
      </c>
      <c r="I33" s="98">
        <f t="shared" si="1"/>
        <v>4</v>
      </c>
      <c r="J33" s="171">
        <f t="shared" si="2"/>
        <v>9</v>
      </c>
      <c r="K33" s="170">
        <f t="shared" si="3"/>
        <v>2.3076923076923075</v>
      </c>
      <c r="L33" s="83"/>
      <c r="M33" s="86"/>
      <c r="N33" s="86"/>
      <c r="O33" s="86"/>
      <c r="P33" s="86"/>
      <c r="Q33" s="86"/>
      <c r="R33" s="86"/>
      <c r="S33" s="86"/>
      <c r="T33" s="86"/>
      <c r="U33" s="83"/>
    </row>
    <row r="34" spans="1:21" s="52" customFormat="1">
      <c r="A34" s="196"/>
      <c r="B34" s="231"/>
      <c r="C34" s="202"/>
      <c r="D34" s="88">
        <v>33</v>
      </c>
      <c r="E34" s="174" t="s">
        <v>240</v>
      </c>
      <c r="F34" s="173" t="s">
        <v>147</v>
      </c>
      <c r="G34" s="172">
        <v>2</v>
      </c>
      <c r="H34" s="98">
        <f t="shared" si="0"/>
        <v>2</v>
      </c>
      <c r="I34" s="98">
        <f t="shared" si="1"/>
        <v>4</v>
      </c>
      <c r="J34" s="171">
        <f t="shared" si="2"/>
        <v>6</v>
      </c>
      <c r="K34" s="170">
        <f t="shared" si="3"/>
        <v>1.5384615384615383</v>
      </c>
      <c r="L34" s="83"/>
      <c r="M34" s="86"/>
      <c r="N34" s="86"/>
      <c r="O34" s="86"/>
      <c r="P34" s="86"/>
      <c r="Q34" s="86"/>
      <c r="R34" s="86"/>
      <c r="S34" s="86"/>
      <c r="T34" s="86"/>
      <c r="U34" s="83"/>
    </row>
    <row r="35" spans="1:21" s="52" customFormat="1" ht="29">
      <c r="A35" s="196"/>
      <c r="B35" s="231"/>
      <c r="C35" s="202"/>
      <c r="D35" s="88">
        <v>34</v>
      </c>
      <c r="E35" s="174" t="s">
        <v>241</v>
      </c>
      <c r="F35" s="173" t="s">
        <v>147</v>
      </c>
      <c r="G35" s="172">
        <v>2</v>
      </c>
      <c r="H35" s="98">
        <f t="shared" si="0"/>
        <v>2</v>
      </c>
      <c r="I35" s="98">
        <f t="shared" si="1"/>
        <v>4</v>
      </c>
      <c r="J35" s="171">
        <f t="shared" si="2"/>
        <v>6</v>
      </c>
      <c r="K35" s="170">
        <f t="shared" si="3"/>
        <v>1.5384615384615383</v>
      </c>
      <c r="L35" s="83"/>
      <c r="M35" s="86"/>
      <c r="N35" s="86"/>
      <c r="O35" s="86"/>
      <c r="P35" s="86"/>
      <c r="Q35" s="86"/>
      <c r="R35" s="86"/>
      <c r="S35" s="86"/>
      <c r="T35" s="86"/>
      <c r="U35" s="83"/>
    </row>
    <row r="36" spans="1:21" s="52" customFormat="1" ht="29">
      <c r="A36" s="196"/>
      <c r="B36" s="231"/>
      <c r="C36" s="202"/>
      <c r="D36" s="88">
        <v>35</v>
      </c>
      <c r="E36" s="174" t="s">
        <v>242</v>
      </c>
      <c r="F36" s="173" t="s">
        <v>146</v>
      </c>
      <c r="G36" s="172">
        <v>2</v>
      </c>
      <c r="H36" s="98">
        <f t="shared" si="0"/>
        <v>5</v>
      </c>
      <c r="I36" s="98">
        <f t="shared" si="1"/>
        <v>4</v>
      </c>
      <c r="J36" s="171">
        <f t="shared" si="2"/>
        <v>9</v>
      </c>
      <c r="K36" s="170">
        <f t="shared" si="3"/>
        <v>2.3076923076923075</v>
      </c>
      <c r="L36" s="83"/>
      <c r="M36" s="86"/>
      <c r="N36" s="86"/>
      <c r="O36" s="86"/>
      <c r="P36" s="86"/>
      <c r="Q36" s="86"/>
      <c r="R36" s="86"/>
      <c r="S36" s="86"/>
      <c r="T36" s="86"/>
      <c r="U36" s="83"/>
    </row>
    <row r="37" spans="1:21" s="52" customFormat="1" ht="43.5">
      <c r="A37" s="196"/>
      <c r="B37" s="231"/>
      <c r="C37" s="202"/>
      <c r="D37" s="88">
        <v>36</v>
      </c>
      <c r="E37" s="174" t="s">
        <v>243</v>
      </c>
      <c r="F37" s="173" t="s">
        <v>147</v>
      </c>
      <c r="G37" s="172">
        <v>2</v>
      </c>
      <c r="H37" s="98">
        <f t="shared" si="0"/>
        <v>2</v>
      </c>
      <c r="I37" s="98">
        <f t="shared" si="1"/>
        <v>4</v>
      </c>
      <c r="J37" s="171">
        <f t="shared" si="2"/>
        <v>6</v>
      </c>
      <c r="K37" s="170">
        <f t="shared" si="3"/>
        <v>1.5384615384615383</v>
      </c>
      <c r="L37" s="83"/>
      <c r="M37" s="86"/>
      <c r="N37" s="86"/>
      <c r="O37" s="86"/>
      <c r="P37" s="86"/>
      <c r="Q37" s="86"/>
      <c r="R37" s="86"/>
      <c r="S37" s="86"/>
      <c r="T37" s="86"/>
      <c r="U37" s="83"/>
    </row>
    <row r="38" spans="1:21" s="52" customFormat="1" ht="29">
      <c r="A38" s="196"/>
      <c r="B38" s="231"/>
      <c r="C38" s="202"/>
      <c r="D38" s="88">
        <v>37</v>
      </c>
      <c r="E38" s="174" t="s">
        <v>244</v>
      </c>
      <c r="F38" s="173" t="s">
        <v>146</v>
      </c>
      <c r="G38" s="172">
        <v>1</v>
      </c>
      <c r="H38" s="98">
        <f t="shared" si="0"/>
        <v>5</v>
      </c>
      <c r="I38" s="98">
        <f t="shared" si="1"/>
        <v>5</v>
      </c>
      <c r="J38" s="171">
        <f t="shared" si="2"/>
        <v>10</v>
      </c>
      <c r="K38" s="170">
        <f t="shared" si="3"/>
        <v>2.5641025641025639</v>
      </c>
      <c r="L38" s="83"/>
      <c r="M38" s="86"/>
      <c r="N38" s="86"/>
      <c r="O38" s="86"/>
      <c r="P38" s="86"/>
      <c r="Q38" s="86"/>
      <c r="R38" s="86"/>
      <c r="S38" s="86"/>
      <c r="T38" s="86"/>
      <c r="U38" s="83"/>
    </row>
    <row r="39" spans="1:21" s="52" customFormat="1" ht="29">
      <c r="A39" s="196"/>
      <c r="B39" s="231"/>
      <c r="C39" s="202"/>
      <c r="D39" s="88">
        <v>38</v>
      </c>
      <c r="E39" s="174" t="s">
        <v>245</v>
      </c>
      <c r="F39" s="173" t="s">
        <v>146</v>
      </c>
      <c r="G39" s="172">
        <v>2</v>
      </c>
      <c r="H39" s="98">
        <f t="shared" si="0"/>
        <v>5</v>
      </c>
      <c r="I39" s="98">
        <f t="shared" si="1"/>
        <v>4</v>
      </c>
      <c r="J39" s="171">
        <f t="shared" si="2"/>
        <v>9</v>
      </c>
      <c r="K39" s="170">
        <f t="shared" si="3"/>
        <v>2.3076923076923075</v>
      </c>
      <c r="L39" s="83"/>
      <c r="M39" s="86"/>
      <c r="N39" s="86"/>
      <c r="O39" s="86"/>
      <c r="P39" s="86"/>
      <c r="Q39" s="86"/>
      <c r="R39" s="86"/>
      <c r="S39" s="86"/>
      <c r="T39" s="86"/>
      <c r="U39" s="83"/>
    </row>
    <row r="40" spans="1:21" s="52" customFormat="1" ht="29">
      <c r="A40" s="196"/>
      <c r="B40" s="232"/>
      <c r="C40" s="203"/>
      <c r="D40" s="88">
        <v>39</v>
      </c>
      <c r="E40" s="169" t="s">
        <v>246</v>
      </c>
      <c r="F40" s="168" t="s">
        <v>147</v>
      </c>
      <c r="G40" s="167">
        <v>3</v>
      </c>
      <c r="H40" s="100">
        <f t="shared" si="0"/>
        <v>2</v>
      </c>
      <c r="I40" s="100">
        <f t="shared" si="1"/>
        <v>3</v>
      </c>
      <c r="J40" s="93">
        <f t="shared" si="2"/>
        <v>5</v>
      </c>
      <c r="K40" s="166">
        <f t="shared" si="3"/>
        <v>1.2820512820512819</v>
      </c>
      <c r="L40" s="83"/>
      <c r="M40" s="86"/>
      <c r="N40" s="86"/>
      <c r="O40" s="86"/>
      <c r="P40" s="86"/>
      <c r="Q40" s="86"/>
      <c r="R40" s="86"/>
      <c r="S40" s="86"/>
      <c r="T40" s="86"/>
      <c r="U40" s="83"/>
    </row>
    <row r="41" spans="1:21" s="52" customFormat="1">
      <c r="A41" s="224" t="s">
        <v>247</v>
      </c>
      <c r="B41" s="223" t="s">
        <v>81</v>
      </c>
      <c r="C41" s="225" t="s">
        <v>247</v>
      </c>
      <c r="D41" s="88">
        <v>40</v>
      </c>
      <c r="E41" s="175" t="s">
        <v>248</v>
      </c>
      <c r="F41" s="173" t="s">
        <v>146</v>
      </c>
      <c r="G41" s="172">
        <v>1</v>
      </c>
      <c r="H41" s="98">
        <f t="shared" si="0"/>
        <v>5</v>
      </c>
      <c r="I41" s="98">
        <f t="shared" si="1"/>
        <v>5</v>
      </c>
      <c r="J41" s="171">
        <f t="shared" si="2"/>
        <v>10</v>
      </c>
      <c r="K41" s="170">
        <f t="shared" si="3"/>
        <v>2.5641025641025639</v>
      </c>
      <c r="L41" s="83"/>
      <c r="M41" s="86"/>
      <c r="N41" s="86"/>
      <c r="O41" s="86"/>
      <c r="P41" s="86"/>
      <c r="Q41" s="86"/>
      <c r="R41" s="86"/>
      <c r="S41" s="86"/>
      <c r="T41" s="86"/>
      <c r="U41" s="83"/>
    </row>
    <row r="42" spans="1:21" s="52" customFormat="1">
      <c r="A42" s="224"/>
      <c r="B42" s="223"/>
      <c r="C42" s="225"/>
      <c r="D42" s="88">
        <v>41</v>
      </c>
      <c r="E42" s="174" t="s">
        <v>249</v>
      </c>
      <c r="F42" s="173" t="s">
        <v>146</v>
      </c>
      <c r="G42" s="172">
        <v>1</v>
      </c>
      <c r="H42" s="98">
        <f t="shared" si="0"/>
        <v>5</v>
      </c>
      <c r="I42" s="98">
        <f t="shared" si="1"/>
        <v>5</v>
      </c>
      <c r="J42" s="171">
        <f t="shared" si="2"/>
        <v>10</v>
      </c>
      <c r="K42" s="170">
        <f t="shared" si="3"/>
        <v>2.5641025641025639</v>
      </c>
      <c r="L42" s="83"/>
      <c r="M42" s="86"/>
      <c r="N42" s="86"/>
      <c r="O42" s="86"/>
      <c r="P42" s="86"/>
      <c r="Q42" s="86"/>
      <c r="R42" s="86"/>
      <c r="S42" s="86"/>
      <c r="T42" s="86"/>
      <c r="U42" s="83"/>
    </row>
    <row r="43" spans="1:21" s="52" customFormat="1" ht="29">
      <c r="A43" s="224"/>
      <c r="B43" s="223"/>
      <c r="C43" s="225"/>
      <c r="D43" s="88">
        <v>42</v>
      </c>
      <c r="E43" s="174" t="s">
        <v>250</v>
      </c>
      <c r="F43" s="173" t="s">
        <v>146</v>
      </c>
      <c r="G43" s="172">
        <v>1</v>
      </c>
      <c r="H43" s="98">
        <f t="shared" si="0"/>
        <v>5</v>
      </c>
      <c r="I43" s="98">
        <f t="shared" si="1"/>
        <v>5</v>
      </c>
      <c r="J43" s="171">
        <f t="shared" si="2"/>
        <v>10</v>
      </c>
      <c r="K43" s="170">
        <f t="shared" si="3"/>
        <v>2.5641025641025639</v>
      </c>
      <c r="L43" s="83"/>
      <c r="M43" s="86"/>
      <c r="N43" s="86"/>
      <c r="O43" s="86"/>
      <c r="P43" s="86"/>
      <c r="Q43" s="86"/>
      <c r="R43" s="86"/>
      <c r="S43" s="86"/>
      <c r="T43" s="86"/>
      <c r="U43" s="83"/>
    </row>
    <row r="44" spans="1:21" s="52" customFormat="1" ht="58">
      <c r="A44" s="224"/>
      <c r="B44" s="223"/>
      <c r="C44" s="225"/>
      <c r="D44" s="88">
        <v>43</v>
      </c>
      <c r="E44" s="174" t="s">
        <v>251</v>
      </c>
      <c r="F44" s="173" t="s">
        <v>146</v>
      </c>
      <c r="G44" s="172">
        <v>2</v>
      </c>
      <c r="H44" s="98">
        <f t="shared" si="0"/>
        <v>5</v>
      </c>
      <c r="I44" s="98">
        <f t="shared" si="1"/>
        <v>4</v>
      </c>
      <c r="J44" s="171">
        <f t="shared" si="2"/>
        <v>9</v>
      </c>
      <c r="K44" s="170">
        <f t="shared" si="3"/>
        <v>2.3076923076923075</v>
      </c>
      <c r="L44" s="83"/>
      <c r="M44" s="86"/>
      <c r="N44" s="86"/>
      <c r="O44" s="86"/>
      <c r="P44" s="86"/>
      <c r="Q44" s="86"/>
      <c r="R44" s="86"/>
      <c r="S44" s="86"/>
      <c r="T44" s="86"/>
      <c r="U44" s="83"/>
    </row>
    <row r="45" spans="1:21" s="52" customFormat="1">
      <c r="A45" s="224"/>
      <c r="B45" s="223"/>
      <c r="C45" s="225"/>
      <c r="D45" s="88">
        <v>44</v>
      </c>
      <c r="E45" s="169" t="s">
        <v>252</v>
      </c>
      <c r="F45" s="168" t="s">
        <v>146</v>
      </c>
      <c r="G45" s="167">
        <v>2</v>
      </c>
      <c r="H45" s="100">
        <f t="shared" si="0"/>
        <v>5</v>
      </c>
      <c r="I45" s="100">
        <f t="shared" si="1"/>
        <v>4</v>
      </c>
      <c r="J45" s="93">
        <f t="shared" si="2"/>
        <v>9</v>
      </c>
      <c r="K45" s="166">
        <f t="shared" si="3"/>
        <v>2.3076923076923075</v>
      </c>
      <c r="L45" s="83"/>
      <c r="M45" s="86"/>
      <c r="N45" s="86"/>
      <c r="O45" s="86"/>
      <c r="P45" s="86"/>
      <c r="Q45" s="86"/>
      <c r="R45" s="86"/>
      <c r="S45" s="86"/>
      <c r="T45" s="86"/>
      <c r="U45" s="83"/>
    </row>
    <row r="46" spans="1:21">
      <c r="A46" s="64"/>
      <c r="B46" s="46"/>
      <c r="C46" s="65" t="s">
        <v>138</v>
      </c>
      <c r="D46" s="81"/>
      <c r="E46" s="82" t="s">
        <v>132</v>
      </c>
      <c r="F46" s="58" t="s">
        <v>133</v>
      </c>
      <c r="G46" s="58"/>
      <c r="H46" s="59"/>
      <c r="I46" s="59"/>
      <c r="J46" s="60"/>
      <c r="K46" s="165">
        <f>SUM(K2:K45)</f>
        <v>99.999999999999986</v>
      </c>
    </row>
    <row r="47" spans="1:21">
      <c r="A47" s="64"/>
      <c r="B47" s="164"/>
      <c r="C47" s="163" t="s">
        <v>137</v>
      </c>
      <c r="D47" s="162" t="s">
        <v>76</v>
      </c>
      <c r="E47" s="161">
        <f>ROW(B2)</f>
        <v>2</v>
      </c>
      <c r="F47" s="161">
        <f>ROW(B14)-1</f>
        <v>13</v>
      </c>
      <c r="G47" s="160"/>
      <c r="H47" s="160"/>
      <c r="I47" s="160"/>
      <c r="J47" s="159">
        <f>SUM(J2:J13)</f>
        <v>98</v>
      </c>
      <c r="K47" s="50"/>
    </row>
    <row r="48" spans="1:21">
      <c r="A48" s="64"/>
      <c r="B48" s="158"/>
      <c r="C48" s="157" t="s">
        <v>137</v>
      </c>
      <c r="D48" s="125" t="s">
        <v>77</v>
      </c>
      <c r="E48" s="61">
        <f>F47+1</f>
        <v>14</v>
      </c>
      <c r="F48" s="61">
        <f>ROW(B17)-1</f>
        <v>16</v>
      </c>
      <c r="G48" s="61"/>
      <c r="H48" s="61"/>
      <c r="I48" s="61"/>
      <c r="J48" s="156">
        <f>SUM(J14:J16)</f>
        <v>27</v>
      </c>
    </row>
    <row r="49" spans="1:21">
      <c r="A49" s="64"/>
      <c r="B49" s="158"/>
      <c r="C49" s="157" t="s">
        <v>137</v>
      </c>
      <c r="D49" s="125" t="s">
        <v>78</v>
      </c>
      <c r="E49" s="61">
        <f>F48+1</f>
        <v>17</v>
      </c>
      <c r="F49" s="61">
        <f>ROW(B22)-1</f>
        <v>21</v>
      </c>
      <c r="G49" s="61"/>
      <c r="H49" s="61"/>
      <c r="I49" s="61"/>
      <c r="J49" s="156">
        <f>SUM(J17:J21)</f>
        <v>48</v>
      </c>
    </row>
    <row r="50" spans="1:21">
      <c r="A50" s="64"/>
      <c r="B50" s="158"/>
      <c r="C50" s="157" t="s">
        <v>137</v>
      </c>
      <c r="D50" s="125" t="s">
        <v>79</v>
      </c>
      <c r="E50" s="61">
        <f>F49+1</f>
        <v>22</v>
      </c>
      <c r="F50" s="61">
        <f>ROW(B32)-1</f>
        <v>31</v>
      </c>
      <c r="G50" s="61"/>
      <c r="H50" s="61"/>
      <c r="I50" s="61"/>
      <c r="J50" s="156">
        <f>SUM(J22:J31)</f>
        <v>100</v>
      </c>
    </row>
    <row r="51" spans="1:21">
      <c r="A51" s="64"/>
      <c r="B51" s="158"/>
      <c r="C51" s="157" t="s">
        <v>137</v>
      </c>
      <c r="D51" s="125" t="s">
        <v>80</v>
      </c>
      <c r="E51" s="61">
        <f>F50+1</f>
        <v>32</v>
      </c>
      <c r="F51" s="61">
        <f>ROW(B41)-1</f>
        <v>40</v>
      </c>
      <c r="G51" s="61"/>
      <c r="H51" s="61"/>
      <c r="I51" s="61"/>
      <c r="J51" s="156">
        <f>SUM(J32:J40)</f>
        <v>69</v>
      </c>
      <c r="L51"/>
      <c r="M51"/>
      <c r="N51"/>
      <c r="O51"/>
      <c r="P51"/>
      <c r="Q51"/>
      <c r="R51"/>
      <c r="S51"/>
      <c r="T51"/>
      <c r="U51"/>
    </row>
    <row r="52" spans="1:21">
      <c r="A52" s="64"/>
      <c r="B52" s="155"/>
      <c r="C52" s="154" t="s">
        <v>137</v>
      </c>
      <c r="D52" s="153" t="s">
        <v>81</v>
      </c>
      <c r="E52" s="152">
        <f>F51+1</f>
        <v>41</v>
      </c>
      <c r="F52" s="152">
        <f>ROW(B46)-1</f>
        <v>45</v>
      </c>
      <c r="G52" s="152"/>
      <c r="H52" s="152"/>
      <c r="I52" s="152"/>
      <c r="J52" s="151">
        <f>SUM(J41:J45)</f>
        <v>48</v>
      </c>
      <c r="L52"/>
      <c r="M52"/>
      <c r="N52"/>
      <c r="O52"/>
      <c r="P52"/>
      <c r="Q52"/>
      <c r="R52"/>
      <c r="S52"/>
      <c r="T52"/>
      <c r="U52"/>
    </row>
    <row r="53" spans="1:21">
      <c r="A53" s="64"/>
      <c r="B53" s="46"/>
      <c r="C53" s="150"/>
      <c r="D53" s="150" t="s">
        <v>190</v>
      </c>
      <c r="E53" s="149">
        <f>ROW(D47)</f>
        <v>47</v>
      </c>
      <c r="F53" s="149">
        <f>ROW(D48)-1</f>
        <v>47</v>
      </c>
      <c r="G53" s="149"/>
      <c r="H53" s="149"/>
      <c r="I53" s="149"/>
      <c r="J53" s="148">
        <f>SUM(J47)</f>
        <v>98</v>
      </c>
      <c r="K53">
        <f>SUM(J2:J13)</f>
        <v>98</v>
      </c>
      <c r="L53"/>
      <c r="M53"/>
      <c r="N53"/>
      <c r="O53"/>
      <c r="P53"/>
      <c r="Q53"/>
      <c r="R53"/>
      <c r="S53"/>
      <c r="T53"/>
      <c r="U53"/>
    </row>
    <row r="54" spans="1:21">
      <c r="A54" s="64"/>
      <c r="B54" s="46"/>
      <c r="C54" s="126"/>
      <c r="D54" s="126" t="s">
        <v>191</v>
      </c>
      <c r="E54" s="61">
        <f>F53+1</f>
        <v>48</v>
      </c>
      <c r="F54" s="61">
        <f>ROW(D52)-1</f>
        <v>51</v>
      </c>
      <c r="G54" s="61"/>
      <c r="H54" s="61"/>
      <c r="I54" s="61"/>
      <c r="J54" s="127">
        <f>SUM(J48:J51)</f>
        <v>244</v>
      </c>
      <c r="K54">
        <f>SUM(J14:J40)</f>
        <v>244</v>
      </c>
      <c r="L54"/>
      <c r="M54"/>
      <c r="N54"/>
      <c r="O54"/>
      <c r="P54"/>
      <c r="Q54"/>
      <c r="R54"/>
      <c r="S54"/>
      <c r="T54"/>
      <c r="U54"/>
    </row>
    <row r="55" spans="1:21" ht="15" thickBot="1">
      <c r="A55" s="64"/>
      <c r="B55" s="46"/>
      <c r="C55" s="147"/>
      <c r="D55" s="147" t="s">
        <v>192</v>
      </c>
      <c r="E55" s="146">
        <f>F54+1</f>
        <v>52</v>
      </c>
      <c r="F55" s="146">
        <f>ROW(D52)</f>
        <v>52</v>
      </c>
      <c r="G55" s="146"/>
      <c r="H55" s="146"/>
      <c r="I55" s="146"/>
      <c r="J55" s="145">
        <f>SUM(J52)</f>
        <v>48</v>
      </c>
      <c r="K55">
        <f>SUM(J41:J45)</f>
        <v>48</v>
      </c>
      <c r="L55"/>
      <c r="M55"/>
      <c r="N55"/>
      <c r="O55"/>
      <c r="P55"/>
      <c r="Q55"/>
      <c r="R55"/>
      <c r="S55"/>
      <c r="T55"/>
      <c r="U55"/>
    </row>
    <row r="56" spans="1:21" ht="15" thickTop="1">
      <c r="A56" s="64"/>
      <c r="B56" s="46"/>
      <c r="C56" s="101"/>
      <c r="D56" s="101" t="s">
        <v>193</v>
      </c>
      <c r="E56" s="62">
        <f>ROW(J53)</f>
        <v>53</v>
      </c>
      <c r="F56" s="62">
        <f>ROW(J55)</f>
        <v>55</v>
      </c>
      <c r="G56" s="62"/>
      <c r="H56" s="62"/>
      <c r="I56" s="62"/>
      <c r="J56" s="63">
        <f>SUM(J53:J55)</f>
        <v>390</v>
      </c>
      <c r="K56">
        <f>SUM(K53:K55)</f>
        <v>390</v>
      </c>
      <c r="L56"/>
      <c r="M56"/>
      <c r="N56"/>
      <c r="O56"/>
      <c r="P56"/>
      <c r="Q56"/>
      <c r="R56"/>
      <c r="S56"/>
      <c r="T56"/>
      <c r="U56"/>
    </row>
    <row r="57" spans="1:21">
      <c r="A57" s="64"/>
      <c r="L57"/>
      <c r="M57"/>
      <c r="N57"/>
      <c r="O57"/>
      <c r="P57"/>
      <c r="Q57"/>
      <c r="R57"/>
      <c r="S57"/>
      <c r="T57"/>
      <c r="U57"/>
    </row>
    <row r="58" spans="1:21">
      <c r="A58" s="64"/>
      <c r="L58"/>
      <c r="M58"/>
      <c r="N58"/>
      <c r="O58"/>
      <c r="P58"/>
      <c r="Q58"/>
      <c r="R58"/>
      <c r="S58"/>
      <c r="T58"/>
      <c r="U58"/>
    </row>
  </sheetData>
  <sheetProtection algorithmName="SHA-512" hashValue="nPfMdNjffikjHWzMglE6L7TP4cvnQGME3dORXktvcWADx7nAHL3iHaT8gd97lR/w5vN+fR2/8u6TL5+C8TjrZg==" saltValue="vgBzgGoPo3JmNwsT9yFunw==" spinCount="100000" sheet="1" objects="1" scenarios="1" formatCells="0"/>
  <mergeCells count="17">
    <mergeCell ref="A1:C1"/>
    <mergeCell ref="A41:A45"/>
    <mergeCell ref="B41:B45"/>
    <mergeCell ref="C41:C45"/>
    <mergeCell ref="A14:A40"/>
    <mergeCell ref="B14:B16"/>
    <mergeCell ref="B32:B40"/>
    <mergeCell ref="C32:C40"/>
    <mergeCell ref="P23:R23"/>
    <mergeCell ref="A2:A13"/>
    <mergeCell ref="B2:B13"/>
    <mergeCell ref="C2:C13"/>
    <mergeCell ref="C14:C16"/>
    <mergeCell ref="B17:B21"/>
    <mergeCell ref="C17:C21"/>
    <mergeCell ref="B22:B31"/>
    <mergeCell ref="C22:C31"/>
  </mergeCells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9.26953125" defaultRowHeight="14.5"/>
  <cols>
    <col min="1" max="1" width="102.36328125" style="31" customWidth="1"/>
    <col min="2" max="16384" width="9.26953125" style="31"/>
  </cols>
  <sheetData>
    <row r="1" ht="409.5" customHeight="1"/>
  </sheetData>
  <sheetProtection algorithmName="SHA-512" hashValue="NJx1BEDxwLiKDDYO53NrQPOCkGoI+l/3bduF7UjV+Ccm+LYCAu+hUWNf7BeXGqRzYoa379g15pbDvltyuUiyiw==" saltValue="7sguVrQ82KNAJoPCBGtV7w==" spinCount="100000" sheet="1" objects="1" scenarios="1" formatCells="0"/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autoLine="0" r:id="rId4">
            <anchor moveWithCells="1">
              <from>
                <xdr:col>0</xdr:col>
                <xdr:colOff>241300</xdr:colOff>
                <xdr:row>0</xdr:row>
                <xdr:rowOff>152400</xdr:rowOff>
              </from>
              <to>
                <xdr:col>0</xdr:col>
                <xdr:colOff>2393950</xdr:colOff>
                <xdr:row>0</xdr:row>
                <xdr:rowOff>704850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mdBtnInitialiseCheckListSystem">
          <controlPr autoLine="0" autoPict="0" r:id="rId6">
            <anchor moveWithCells="1">
              <from>
                <xdr:col>0</xdr:col>
                <xdr:colOff>254000</xdr:colOff>
                <xdr:row>0</xdr:row>
                <xdr:rowOff>1028700</xdr:rowOff>
              </from>
              <to>
                <xdr:col>0</xdr:col>
                <xdr:colOff>2832100</xdr:colOff>
                <xdr:row>0</xdr:row>
                <xdr:rowOff>1390650</xdr:rowOff>
              </to>
            </anchor>
          </controlPr>
        </control>
      </mc:Choice>
      <mc:Fallback>
        <control shapeId="6146" r:id="rId5" name="CmdBtnInitialiseCheckListSystem"/>
      </mc:Fallback>
    </mc:AlternateContent>
    <mc:AlternateContent xmlns:mc="http://schemas.openxmlformats.org/markup-compatibility/2006">
      <mc:Choice Requires="x14">
        <control shapeId="6147" r:id="rId7" name="CmdBtnSetDataValidation">
          <controlPr autoLine="0" autoPict="0" r:id="rId8">
            <anchor moveWithCells="1">
              <from>
                <xdr:col>0</xdr:col>
                <xdr:colOff>254000</xdr:colOff>
                <xdr:row>0</xdr:row>
                <xdr:rowOff>1562100</xdr:rowOff>
              </from>
              <to>
                <xdr:col>0</xdr:col>
                <xdr:colOff>2813050</xdr:colOff>
                <xdr:row>0</xdr:row>
                <xdr:rowOff>2152650</xdr:rowOff>
              </to>
            </anchor>
          </controlPr>
        </control>
      </mc:Choice>
      <mc:Fallback>
        <control shapeId="6147" r:id="rId7" name="CmdBtnSetDataValidation"/>
      </mc:Fallback>
    </mc:AlternateContent>
    <mc:AlternateContent xmlns:mc="http://schemas.openxmlformats.org/markup-compatibility/2006">
      <mc:Choice Requires="x14">
        <control shapeId="6148" r:id="rId9" name="CmdBtnDeletePaper">
          <controlPr autoLine="0" r:id="rId10">
            <anchor moveWithCells="1">
              <from>
                <xdr:col>0</xdr:col>
                <xdr:colOff>2914650</xdr:colOff>
                <xdr:row>0</xdr:row>
                <xdr:rowOff>171450</xdr:rowOff>
              </from>
              <to>
                <xdr:col>0</xdr:col>
                <xdr:colOff>4984750</xdr:colOff>
                <xdr:row>0</xdr:row>
                <xdr:rowOff>660400</xdr:rowOff>
              </to>
            </anchor>
          </controlPr>
        </control>
      </mc:Choice>
      <mc:Fallback>
        <control shapeId="6148" r:id="rId9" name="CmdBtnDeletePaper"/>
      </mc:Fallback>
    </mc:AlternateContent>
    <mc:AlternateContent xmlns:mc="http://schemas.openxmlformats.org/markup-compatibility/2006">
      <mc:Choice Requires="x14">
        <control shapeId="6149" r:id="rId11" name="CommandButton5">
          <controlPr autoLine="0" r:id="rId12">
            <anchor moveWithCells="1">
              <from>
                <xdr:col>0</xdr:col>
                <xdr:colOff>5784850</xdr:colOff>
                <xdr:row>0</xdr:row>
                <xdr:rowOff>165100</xdr:rowOff>
              </from>
              <to>
                <xdr:col>2</xdr:col>
                <xdr:colOff>57150</xdr:colOff>
                <xdr:row>0</xdr:row>
                <xdr:rowOff>654050</xdr:rowOff>
              </to>
            </anchor>
          </controlPr>
        </control>
      </mc:Choice>
      <mc:Fallback>
        <control shapeId="6149" r:id="rId11" name="CommandButton5"/>
      </mc:Fallback>
    </mc:AlternateContent>
    <mc:AlternateContent xmlns:mc="http://schemas.openxmlformats.org/markup-compatibility/2006">
      <mc:Choice Requires="x14">
        <control shapeId="6150" r:id="rId13" name="CommandButton6">
          <controlPr autoLine="0" r:id="rId14">
            <anchor moveWithCells="1">
              <from>
                <xdr:col>0</xdr:col>
                <xdr:colOff>2921000</xdr:colOff>
                <xdr:row>0</xdr:row>
                <xdr:rowOff>1568450</xdr:rowOff>
              </from>
              <to>
                <xdr:col>0</xdr:col>
                <xdr:colOff>4991100</xdr:colOff>
                <xdr:row>0</xdr:row>
                <xdr:rowOff>2057400</xdr:rowOff>
              </to>
            </anchor>
          </controlPr>
        </control>
      </mc:Choice>
      <mc:Fallback>
        <control shapeId="6150" r:id="rId13" name="CommandButton6"/>
      </mc:Fallback>
    </mc:AlternateContent>
    <mc:AlternateContent xmlns:mc="http://schemas.openxmlformats.org/markup-compatibility/2006">
      <mc:Choice Requires="x14">
        <control shapeId="6151" r:id="rId15" name="CommandButton7">
          <controlPr autoLine="0" r:id="rId16">
            <anchor moveWithCells="1">
              <from>
                <xdr:col>0</xdr:col>
                <xdr:colOff>5797550</xdr:colOff>
                <xdr:row>0</xdr:row>
                <xdr:rowOff>1587500</xdr:rowOff>
              </from>
              <to>
                <xdr:col>2</xdr:col>
                <xdr:colOff>69850</xdr:colOff>
                <xdr:row>0</xdr:row>
                <xdr:rowOff>2076450</xdr:rowOff>
              </to>
            </anchor>
          </controlPr>
        </control>
      </mc:Choice>
      <mc:Fallback>
        <control shapeId="6151" r:id="rId15" name="CommandButton7"/>
      </mc:Fallback>
    </mc:AlternateContent>
    <mc:AlternateContent xmlns:mc="http://schemas.openxmlformats.org/markup-compatibility/2006">
      <mc:Choice Requires="x14">
        <control shapeId="6152" r:id="rId17" name="CommandButton2">
          <controlPr autoLine="0" autoPict="0" r:id="rId18">
            <anchor moveWithCells="1">
              <from>
                <xdr:col>0</xdr:col>
                <xdr:colOff>5778500</xdr:colOff>
                <xdr:row>0</xdr:row>
                <xdr:rowOff>2438400</xdr:rowOff>
              </from>
              <to>
                <xdr:col>0</xdr:col>
                <xdr:colOff>8267700</xdr:colOff>
                <xdr:row>0</xdr:row>
                <xdr:rowOff>3194050</xdr:rowOff>
              </to>
            </anchor>
          </controlPr>
        </control>
      </mc:Choice>
      <mc:Fallback>
        <control shapeId="6152" r:id="rId17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55"/>
  <sheetViews>
    <sheetView workbookViewId="0">
      <pane ySplit="1" topLeftCell="A2" activePane="bottomLeft" state="frozen"/>
      <selection activeCell="B57" sqref="B57"/>
      <selection pane="bottomLeft" activeCell="A43" sqref="A43:A55"/>
    </sheetView>
  </sheetViews>
  <sheetFormatPr defaultColWidth="9.26953125" defaultRowHeight="14.5"/>
  <cols>
    <col min="1" max="1" width="9.26953125" style="14"/>
    <col min="2" max="2" width="110.6328125" style="41" customWidth="1"/>
    <col min="3" max="3" width="14.1796875" style="14" customWidth="1"/>
    <col min="4" max="4" width="9.26953125" style="14"/>
    <col min="5" max="5" width="60.453125" style="14" customWidth="1"/>
    <col min="6" max="6" width="47.54296875" style="14" customWidth="1"/>
    <col min="7" max="7" width="19.81640625" style="14" customWidth="1"/>
    <col min="8" max="8" width="25.453125" style="14" customWidth="1"/>
    <col min="9" max="16384" width="9.26953125" style="14"/>
  </cols>
  <sheetData>
    <row r="1" spans="1:18" s="32" customFormat="1" ht="37.5" customHeight="1">
      <c r="A1" s="32" t="s">
        <v>4</v>
      </c>
      <c r="B1" s="33" t="s">
        <v>5</v>
      </c>
      <c r="C1" s="32" t="s">
        <v>6</v>
      </c>
    </row>
    <row r="2" spans="1:18" ht="15.5">
      <c r="A2" s="14">
        <v>1</v>
      </c>
      <c r="B2" s="34" t="s">
        <v>154</v>
      </c>
      <c r="C2" s="35" t="s">
        <v>102</v>
      </c>
      <c r="D2" s="223" t="s">
        <v>76</v>
      </c>
      <c r="E2" s="36" t="s">
        <v>105</v>
      </c>
      <c r="F2" s="37"/>
      <c r="G2" s="36"/>
      <c r="H2" s="36"/>
      <c r="I2" s="36"/>
      <c r="J2" s="36"/>
      <c r="K2" s="36"/>
      <c r="L2" s="36"/>
      <c r="M2" s="36"/>
      <c r="N2" s="36"/>
    </row>
    <row r="3" spans="1:18" ht="15.5">
      <c r="A3" s="14">
        <v>2</v>
      </c>
      <c r="B3" s="34" t="s">
        <v>155</v>
      </c>
      <c r="C3" s="35"/>
      <c r="D3" s="223"/>
      <c r="E3" s="36" t="s">
        <v>117</v>
      </c>
      <c r="F3" s="37"/>
      <c r="G3" s="36"/>
      <c r="H3" s="36"/>
      <c r="I3" s="36"/>
      <c r="J3" s="36"/>
      <c r="K3" s="36"/>
      <c r="L3" s="36"/>
      <c r="M3" s="36"/>
      <c r="N3" s="36"/>
    </row>
    <row r="4" spans="1:18" ht="15.5">
      <c r="A4" s="14">
        <v>3</v>
      </c>
      <c r="B4" s="34" t="s">
        <v>156</v>
      </c>
      <c r="C4" s="35" t="s">
        <v>102</v>
      </c>
      <c r="D4" s="223"/>
      <c r="E4" s="36"/>
      <c r="F4" s="37"/>
      <c r="G4" s="36"/>
      <c r="H4" s="36"/>
      <c r="I4" s="36"/>
      <c r="J4" s="36"/>
      <c r="K4" s="36"/>
      <c r="L4" s="36"/>
      <c r="M4" s="36"/>
      <c r="N4" s="36"/>
    </row>
    <row r="5" spans="1:18" ht="15.5">
      <c r="A5" s="14">
        <v>4</v>
      </c>
      <c r="B5" s="34" t="s">
        <v>157</v>
      </c>
      <c r="C5" s="35" t="s">
        <v>102</v>
      </c>
      <c r="D5" s="223"/>
      <c r="E5" s="36"/>
      <c r="F5" s="37"/>
      <c r="G5" s="36"/>
      <c r="H5" s="36"/>
      <c r="I5" s="36"/>
      <c r="J5" s="36"/>
      <c r="K5" s="36"/>
      <c r="L5" s="36"/>
      <c r="M5" s="36"/>
      <c r="N5" s="36"/>
    </row>
    <row r="6" spans="1:18" ht="15.5">
      <c r="A6" s="14">
        <v>5</v>
      </c>
      <c r="B6" s="34" t="s">
        <v>158</v>
      </c>
      <c r="C6" s="35" t="s">
        <v>102</v>
      </c>
      <c r="D6" s="223"/>
      <c r="E6" s="38"/>
      <c r="F6" s="37"/>
      <c r="G6" s="36"/>
      <c r="H6" s="37"/>
      <c r="I6" s="36"/>
      <c r="J6" s="36"/>
      <c r="K6" s="36"/>
      <c r="L6" s="36"/>
      <c r="M6" s="36"/>
      <c r="N6" s="36"/>
      <c r="O6" s="36"/>
      <c r="P6" s="36"/>
      <c r="Q6" s="36"/>
      <c r="R6" s="36"/>
    </row>
    <row r="7" spans="1:18" ht="15.5">
      <c r="A7" s="14">
        <v>6</v>
      </c>
      <c r="B7" s="34" t="s">
        <v>253</v>
      </c>
      <c r="C7" s="35" t="s">
        <v>102</v>
      </c>
      <c r="D7" s="223"/>
      <c r="E7" s="38"/>
      <c r="F7" s="37"/>
      <c r="G7" s="36"/>
      <c r="H7" s="37"/>
      <c r="I7" s="36"/>
      <c r="J7" s="36"/>
      <c r="K7" s="36"/>
      <c r="L7" s="36"/>
      <c r="M7" s="36"/>
      <c r="N7" s="36"/>
      <c r="O7" s="36"/>
      <c r="P7" s="36"/>
      <c r="Q7" s="36"/>
      <c r="R7" s="36"/>
    </row>
    <row r="8" spans="1:18" ht="15.5">
      <c r="A8" s="14">
        <v>7</v>
      </c>
      <c r="B8" s="34" t="s">
        <v>159</v>
      </c>
      <c r="C8" s="35"/>
      <c r="D8" s="223"/>
      <c r="E8" s="38"/>
      <c r="F8" s="37"/>
      <c r="G8" s="36"/>
      <c r="H8" s="37"/>
      <c r="I8" s="36"/>
      <c r="J8" s="36"/>
      <c r="K8" s="36"/>
      <c r="L8" s="36"/>
      <c r="M8" s="36"/>
      <c r="N8" s="36"/>
      <c r="O8" s="36"/>
      <c r="P8" s="36"/>
      <c r="Q8" s="36"/>
      <c r="R8" s="36"/>
    </row>
    <row r="9" spans="1:18" ht="15.5">
      <c r="A9" s="14">
        <v>8</v>
      </c>
      <c r="B9" s="34" t="s">
        <v>160</v>
      </c>
      <c r="C9" s="35" t="s">
        <v>102</v>
      </c>
      <c r="D9" s="223"/>
      <c r="E9" s="38"/>
      <c r="F9" s="37"/>
      <c r="G9" s="36"/>
      <c r="H9" s="37"/>
      <c r="I9" s="36"/>
      <c r="J9" s="36"/>
      <c r="K9" s="36"/>
      <c r="L9" s="36"/>
      <c r="M9" s="36"/>
      <c r="N9" s="36"/>
      <c r="O9" s="36"/>
      <c r="P9" s="36"/>
      <c r="Q9" s="36"/>
      <c r="R9" s="36"/>
    </row>
    <row r="10" spans="1:18" ht="15.5">
      <c r="A10" s="14">
        <v>9</v>
      </c>
      <c r="B10" s="34" t="s">
        <v>161</v>
      </c>
      <c r="C10" s="35" t="s">
        <v>102</v>
      </c>
      <c r="D10" s="223"/>
      <c r="E10" s="38"/>
      <c r="F10" s="37"/>
      <c r="G10" s="36"/>
      <c r="H10" s="37"/>
      <c r="I10" s="36"/>
      <c r="J10" s="36"/>
      <c r="K10" s="36"/>
      <c r="L10" s="36"/>
      <c r="M10" s="36"/>
      <c r="N10" s="36"/>
      <c r="O10" s="36"/>
      <c r="P10" s="36"/>
      <c r="Q10" s="36"/>
      <c r="R10" s="36"/>
    </row>
    <row r="11" spans="1:18" ht="15.5">
      <c r="A11" s="14">
        <v>10</v>
      </c>
      <c r="B11" s="34" t="s">
        <v>162</v>
      </c>
      <c r="C11" s="35"/>
      <c r="D11" s="223"/>
      <c r="E11" s="38"/>
      <c r="F11" s="37"/>
      <c r="G11" s="36"/>
      <c r="H11" s="37"/>
      <c r="I11" s="36"/>
      <c r="J11" s="36"/>
      <c r="K11" s="36"/>
      <c r="L11" s="36"/>
      <c r="M11" s="36"/>
      <c r="N11" s="36"/>
      <c r="O11" s="36"/>
      <c r="P11" s="36"/>
      <c r="Q11" s="36"/>
      <c r="R11" s="36"/>
    </row>
    <row r="12" spans="1:18" ht="16" thickBot="1">
      <c r="A12" s="14">
        <v>11</v>
      </c>
      <c r="B12" s="34" t="s">
        <v>163</v>
      </c>
      <c r="C12" s="35" t="s">
        <v>102</v>
      </c>
      <c r="D12" s="223"/>
      <c r="E12" s="38"/>
      <c r="F12" s="37"/>
      <c r="G12" s="36"/>
      <c r="H12" s="37"/>
      <c r="I12" s="36"/>
      <c r="J12" s="36"/>
      <c r="K12" s="36"/>
      <c r="L12" s="36"/>
      <c r="M12" s="36"/>
      <c r="N12" s="36"/>
      <c r="O12" s="36"/>
      <c r="P12" s="36"/>
      <c r="Q12" s="36"/>
      <c r="R12" s="36"/>
    </row>
    <row r="13" spans="1:18" ht="15.5">
      <c r="A13" s="14">
        <v>12</v>
      </c>
      <c r="B13" s="103" t="s">
        <v>164</v>
      </c>
      <c r="C13" s="35" t="s">
        <v>102</v>
      </c>
      <c r="D13" s="223"/>
      <c r="E13" s="38"/>
      <c r="F13" s="37"/>
      <c r="G13" s="36"/>
      <c r="H13" s="37"/>
      <c r="I13" s="36"/>
      <c r="J13" s="36"/>
      <c r="K13" s="36"/>
      <c r="L13" s="36"/>
      <c r="M13" s="36"/>
      <c r="N13" s="36"/>
      <c r="O13" s="36"/>
      <c r="P13" s="36"/>
      <c r="Q13" s="36"/>
      <c r="R13" s="36"/>
    </row>
    <row r="14" spans="1:18" ht="16" thickBot="1">
      <c r="A14" s="14">
        <v>13</v>
      </c>
      <c r="B14" s="104" t="s">
        <v>165</v>
      </c>
      <c r="C14" s="35" t="s">
        <v>102</v>
      </c>
      <c r="D14" s="197" t="s">
        <v>77</v>
      </c>
      <c r="E14" s="38"/>
      <c r="F14" s="37"/>
      <c r="G14" s="36"/>
      <c r="H14" s="37"/>
      <c r="I14" s="36"/>
      <c r="J14" s="36"/>
      <c r="K14" s="36"/>
      <c r="L14" s="36"/>
      <c r="M14" s="36"/>
      <c r="N14" s="36"/>
      <c r="O14" s="36"/>
      <c r="P14" s="36"/>
      <c r="Q14" s="36"/>
      <c r="R14" s="36"/>
    </row>
    <row r="15" spans="1:18" s="110" customFormat="1" ht="15.5">
      <c r="A15" s="105">
        <v>14</v>
      </c>
      <c r="B15" s="106" t="s">
        <v>166</v>
      </c>
      <c r="C15" s="35" t="s">
        <v>102</v>
      </c>
      <c r="D15" s="197"/>
      <c r="E15" s="107"/>
      <c r="F15" s="108"/>
      <c r="G15" s="109"/>
      <c r="H15" s="108"/>
      <c r="I15" s="109"/>
      <c r="J15" s="109"/>
      <c r="K15" s="109"/>
      <c r="L15" s="109"/>
      <c r="M15" s="109"/>
      <c r="N15" s="109"/>
      <c r="O15" s="109"/>
      <c r="P15" s="109"/>
      <c r="Q15" s="109"/>
      <c r="R15" s="109"/>
    </row>
    <row r="16" spans="1:18" s="117" customFormat="1" ht="15.5">
      <c r="A16" s="111">
        <v>15</v>
      </c>
      <c r="B16" s="112" t="s">
        <v>167</v>
      </c>
      <c r="C16" s="35" t="s">
        <v>102</v>
      </c>
      <c r="D16" s="197"/>
      <c r="E16" s="114"/>
      <c r="F16" s="115"/>
      <c r="G16" s="116"/>
      <c r="H16" s="115"/>
      <c r="I16" s="116"/>
      <c r="J16" s="116"/>
      <c r="K16" s="116"/>
      <c r="L16" s="116"/>
      <c r="M16" s="116"/>
      <c r="N16" s="116"/>
      <c r="O16" s="116"/>
      <c r="P16" s="116"/>
      <c r="Q16" s="116"/>
      <c r="R16" s="116"/>
    </row>
    <row r="17" spans="1:18" s="117" customFormat="1" ht="15.5">
      <c r="A17" s="111">
        <v>16</v>
      </c>
      <c r="B17" s="112" t="s">
        <v>168</v>
      </c>
      <c r="C17" s="35" t="s">
        <v>102</v>
      </c>
      <c r="D17" s="199" t="s">
        <v>78</v>
      </c>
      <c r="E17" s="114"/>
      <c r="F17" s="115"/>
      <c r="G17" s="116"/>
      <c r="H17" s="115"/>
      <c r="I17" s="116"/>
      <c r="J17" s="116"/>
      <c r="K17" s="116"/>
      <c r="L17" s="116"/>
      <c r="M17" s="116"/>
      <c r="N17" s="116"/>
      <c r="O17" s="116"/>
      <c r="P17" s="116"/>
      <c r="Q17" s="116"/>
      <c r="R17" s="116"/>
    </row>
    <row r="18" spans="1:18" s="117" customFormat="1" ht="15.5">
      <c r="A18" s="111">
        <v>17</v>
      </c>
      <c r="B18" s="112" t="s">
        <v>169</v>
      </c>
      <c r="C18" s="35" t="s">
        <v>102</v>
      </c>
      <c r="D18" s="199"/>
      <c r="E18" s="114"/>
      <c r="F18" s="115"/>
      <c r="G18" s="116"/>
      <c r="H18" s="115"/>
      <c r="I18" s="116"/>
      <c r="J18" s="116"/>
      <c r="K18" s="116"/>
      <c r="L18" s="116"/>
      <c r="M18" s="116"/>
      <c r="N18" s="116"/>
      <c r="O18" s="116"/>
      <c r="P18" s="116"/>
      <c r="Q18" s="116"/>
      <c r="R18" s="116"/>
    </row>
    <row r="19" spans="1:18" s="117" customFormat="1" ht="15.5">
      <c r="A19" s="111">
        <v>18</v>
      </c>
      <c r="B19" s="112" t="s">
        <v>170</v>
      </c>
      <c r="C19" s="35" t="s">
        <v>102</v>
      </c>
      <c r="D19" s="199"/>
      <c r="E19" s="114"/>
      <c r="F19" s="115"/>
      <c r="G19" s="116"/>
      <c r="H19" s="115"/>
      <c r="I19" s="116"/>
      <c r="J19" s="116"/>
      <c r="K19" s="116"/>
      <c r="L19" s="116"/>
      <c r="M19" s="116"/>
      <c r="N19" s="116"/>
      <c r="O19" s="116"/>
      <c r="P19" s="116"/>
      <c r="Q19" s="116"/>
      <c r="R19" s="116"/>
    </row>
    <row r="20" spans="1:18" s="123" customFormat="1" ht="16" thickBot="1">
      <c r="A20" s="118">
        <v>19</v>
      </c>
      <c r="B20" s="119" t="s">
        <v>171</v>
      </c>
      <c r="C20" s="35" t="s">
        <v>102</v>
      </c>
      <c r="D20" s="199"/>
      <c r="E20" s="120"/>
      <c r="F20" s="121"/>
      <c r="G20" s="122"/>
      <c r="H20" s="121"/>
      <c r="I20" s="122"/>
      <c r="J20" s="122"/>
      <c r="K20" s="122"/>
      <c r="L20" s="122"/>
      <c r="M20" s="122"/>
      <c r="N20" s="122"/>
      <c r="O20" s="122"/>
      <c r="P20" s="122"/>
      <c r="Q20" s="122"/>
      <c r="R20" s="122"/>
    </row>
    <row r="21" spans="1:18" ht="15.5">
      <c r="A21" s="105">
        <v>20</v>
      </c>
      <c r="B21" s="106" t="s">
        <v>172</v>
      </c>
      <c r="C21" s="35" t="s">
        <v>102</v>
      </c>
      <c r="D21" s="199"/>
      <c r="E21" s="38"/>
      <c r="F21" s="37"/>
      <c r="G21" s="36"/>
      <c r="H21" s="37"/>
      <c r="I21" s="36"/>
      <c r="J21" s="36"/>
      <c r="K21" s="36"/>
      <c r="L21" s="36"/>
      <c r="M21" s="36"/>
      <c r="N21" s="36"/>
      <c r="O21" s="36"/>
      <c r="P21" s="36"/>
      <c r="Q21" s="36"/>
      <c r="R21" s="36"/>
    </row>
    <row r="22" spans="1:18" ht="15.5">
      <c r="A22" s="111">
        <v>21</v>
      </c>
      <c r="B22" s="112" t="s">
        <v>173</v>
      </c>
      <c r="C22" s="113" t="s">
        <v>102</v>
      </c>
      <c r="D22" s="200" t="s">
        <v>79</v>
      </c>
      <c r="E22" s="38"/>
      <c r="F22" s="37"/>
      <c r="G22" s="36"/>
      <c r="H22" s="37"/>
      <c r="I22" s="36"/>
      <c r="J22" s="36"/>
      <c r="K22" s="36"/>
      <c r="L22" s="36"/>
      <c r="M22" s="36"/>
      <c r="N22" s="36"/>
      <c r="O22" s="36"/>
      <c r="P22" s="36"/>
      <c r="Q22" s="36"/>
      <c r="R22" s="36"/>
    </row>
    <row r="23" spans="1:18" ht="15.5">
      <c r="A23" s="111">
        <v>22</v>
      </c>
      <c r="B23" s="112" t="s">
        <v>174</v>
      </c>
      <c r="C23" s="113" t="s">
        <v>102</v>
      </c>
      <c r="D23" s="200"/>
      <c r="E23" s="38"/>
      <c r="F23" s="37"/>
      <c r="G23" s="36"/>
      <c r="H23" s="37"/>
      <c r="I23" s="36"/>
      <c r="J23" s="36"/>
      <c r="K23" s="36"/>
      <c r="L23" s="36"/>
      <c r="M23" s="36"/>
      <c r="N23" s="36"/>
      <c r="O23" s="36"/>
      <c r="P23" s="36"/>
      <c r="Q23" s="36"/>
      <c r="R23" s="36"/>
    </row>
    <row r="24" spans="1:18" ht="15.5">
      <c r="A24" s="111">
        <v>23</v>
      </c>
      <c r="B24" s="112" t="s">
        <v>175</v>
      </c>
      <c r="C24" s="113" t="s">
        <v>102</v>
      </c>
      <c r="D24" s="200"/>
      <c r="E24" s="38"/>
      <c r="F24" s="37"/>
      <c r="G24" s="36"/>
      <c r="H24" s="37"/>
      <c r="I24" s="36"/>
      <c r="J24" s="36"/>
      <c r="K24" s="36"/>
      <c r="L24" s="36"/>
      <c r="M24" s="36"/>
      <c r="N24" s="36"/>
      <c r="O24" s="36"/>
      <c r="P24" s="36"/>
      <c r="Q24" s="36"/>
      <c r="R24" s="36"/>
    </row>
    <row r="25" spans="1:18" ht="15.5">
      <c r="A25" s="111">
        <v>24</v>
      </c>
      <c r="B25" s="112" t="s">
        <v>176</v>
      </c>
      <c r="C25" s="113" t="s">
        <v>102</v>
      </c>
      <c r="D25" s="200"/>
      <c r="E25" s="38"/>
      <c r="F25" s="37"/>
      <c r="G25" s="36"/>
      <c r="H25" s="37"/>
      <c r="I25" s="36"/>
      <c r="J25" s="36"/>
      <c r="K25" s="36"/>
      <c r="L25" s="36"/>
      <c r="M25" s="36"/>
      <c r="N25" s="36"/>
      <c r="O25" s="36"/>
      <c r="P25" s="36"/>
      <c r="Q25" s="36"/>
      <c r="R25" s="36"/>
    </row>
    <row r="26" spans="1:18" ht="15.5">
      <c r="A26" s="111">
        <v>25</v>
      </c>
      <c r="B26" s="112" t="s">
        <v>177</v>
      </c>
      <c r="C26" s="113" t="s">
        <v>102</v>
      </c>
      <c r="D26" s="200"/>
      <c r="E26" s="38"/>
      <c r="F26" s="37"/>
      <c r="G26" s="36"/>
      <c r="H26" s="37"/>
      <c r="I26" s="36"/>
      <c r="J26" s="36"/>
      <c r="K26" s="36"/>
      <c r="L26" s="36"/>
      <c r="M26" s="36"/>
      <c r="N26" s="36"/>
      <c r="O26" s="36"/>
      <c r="P26" s="36"/>
      <c r="Q26" s="36"/>
      <c r="R26" s="36"/>
    </row>
    <row r="27" spans="1:18" ht="16" thickBot="1">
      <c r="A27" s="118">
        <v>26</v>
      </c>
      <c r="B27" s="119" t="s">
        <v>178</v>
      </c>
      <c r="C27" s="113" t="s">
        <v>102</v>
      </c>
      <c r="D27" s="200"/>
      <c r="E27" s="38"/>
      <c r="F27" s="37"/>
      <c r="G27" s="36"/>
      <c r="H27" s="37"/>
      <c r="I27" s="36"/>
      <c r="J27" s="36"/>
      <c r="K27" s="36"/>
      <c r="L27" s="36"/>
      <c r="M27" s="36"/>
      <c r="N27" s="36"/>
      <c r="O27" s="36"/>
      <c r="P27" s="36"/>
      <c r="Q27" s="36"/>
      <c r="R27" s="36"/>
    </row>
    <row r="28" spans="1:18" ht="15.5">
      <c r="A28" s="105">
        <v>27</v>
      </c>
      <c r="B28" s="106" t="s">
        <v>179</v>
      </c>
      <c r="C28" s="113" t="s">
        <v>102</v>
      </c>
      <c r="D28" s="200"/>
      <c r="E28" s="38"/>
      <c r="F28" s="37"/>
      <c r="G28" s="36"/>
      <c r="H28" s="37"/>
      <c r="I28" s="36"/>
      <c r="J28" s="36"/>
      <c r="K28" s="36"/>
      <c r="L28" s="36"/>
      <c r="M28" s="36"/>
      <c r="N28" s="36"/>
      <c r="O28" s="36"/>
      <c r="P28" s="36"/>
      <c r="Q28" s="36"/>
      <c r="R28" s="36"/>
    </row>
    <row r="29" spans="1:18" ht="15.5">
      <c r="A29" s="111">
        <v>28</v>
      </c>
      <c r="B29" s="112" t="s">
        <v>180</v>
      </c>
      <c r="C29" s="113" t="s">
        <v>102</v>
      </c>
      <c r="D29" s="200"/>
      <c r="E29" s="38"/>
      <c r="F29" s="37"/>
      <c r="G29" s="36"/>
      <c r="H29" s="37"/>
      <c r="I29" s="36"/>
      <c r="J29" s="36"/>
      <c r="K29" s="36"/>
      <c r="L29" s="36"/>
      <c r="M29" s="36"/>
      <c r="N29" s="36"/>
      <c r="O29" s="36"/>
      <c r="P29" s="36"/>
      <c r="Q29" s="36"/>
      <c r="R29" s="36"/>
    </row>
    <row r="30" spans="1:18" ht="15.5">
      <c r="A30" s="111">
        <v>29</v>
      </c>
      <c r="B30" s="112" t="s">
        <v>181</v>
      </c>
      <c r="C30" s="113" t="s">
        <v>102</v>
      </c>
      <c r="D30" s="200"/>
      <c r="E30" s="38"/>
      <c r="F30" s="37"/>
      <c r="G30" s="36"/>
      <c r="H30" s="37"/>
      <c r="I30" s="36"/>
      <c r="J30" s="36"/>
      <c r="K30" s="36"/>
      <c r="L30" s="36"/>
      <c r="M30" s="36"/>
      <c r="N30" s="36"/>
      <c r="O30" s="36"/>
      <c r="P30" s="36"/>
      <c r="Q30" s="36"/>
      <c r="R30" s="36"/>
    </row>
    <row r="31" spans="1:18" ht="15.5">
      <c r="A31" s="111">
        <v>30</v>
      </c>
      <c r="B31" s="112" t="s">
        <v>182</v>
      </c>
      <c r="C31" s="113" t="s">
        <v>102</v>
      </c>
      <c r="D31" s="200"/>
      <c r="E31" s="38"/>
      <c r="F31" s="37"/>
      <c r="G31" s="36"/>
      <c r="H31" s="37"/>
      <c r="I31" s="36"/>
      <c r="J31" s="36"/>
      <c r="K31" s="36"/>
      <c r="L31" s="36"/>
      <c r="M31" s="36"/>
      <c r="N31" s="36"/>
      <c r="O31" s="36"/>
      <c r="P31" s="36"/>
      <c r="Q31" s="36"/>
      <c r="R31" s="36"/>
    </row>
    <row r="32" spans="1:18" ht="15.5">
      <c r="A32" s="111">
        <v>31</v>
      </c>
      <c r="B32" s="112" t="s">
        <v>183</v>
      </c>
      <c r="C32" s="113" t="s">
        <v>102</v>
      </c>
      <c r="D32" s="201" t="s">
        <v>80</v>
      </c>
      <c r="E32" s="38"/>
      <c r="F32" s="37"/>
      <c r="G32" s="36"/>
      <c r="H32" s="37"/>
      <c r="I32" s="36"/>
      <c r="J32" s="36"/>
      <c r="K32" s="36"/>
      <c r="L32" s="36"/>
      <c r="M32" s="36"/>
      <c r="N32" s="36"/>
      <c r="O32" s="36"/>
      <c r="P32" s="36"/>
      <c r="Q32" s="36"/>
      <c r="R32" s="36"/>
    </row>
    <row r="33" spans="1:18" ht="15.5">
      <c r="A33" s="111">
        <v>32</v>
      </c>
      <c r="B33" s="112" t="s">
        <v>184</v>
      </c>
      <c r="C33" s="113" t="s">
        <v>102</v>
      </c>
      <c r="D33" s="202"/>
      <c r="E33" s="38"/>
      <c r="F33" s="37"/>
      <c r="G33" s="36"/>
      <c r="H33" s="37"/>
      <c r="I33" s="36"/>
      <c r="J33" s="36"/>
      <c r="K33" s="36"/>
      <c r="L33" s="36"/>
      <c r="M33" s="36"/>
      <c r="N33" s="36"/>
      <c r="O33" s="36"/>
      <c r="P33" s="36"/>
      <c r="Q33" s="36"/>
      <c r="R33" s="36"/>
    </row>
    <row r="34" spans="1:18" ht="15.5">
      <c r="A34" s="111">
        <v>33</v>
      </c>
      <c r="B34" s="112" t="s">
        <v>185</v>
      </c>
      <c r="C34" s="113"/>
      <c r="D34" s="202"/>
      <c r="E34" s="38"/>
      <c r="F34" s="37"/>
      <c r="G34" s="39"/>
      <c r="H34" s="37"/>
      <c r="I34" s="36"/>
      <c r="J34" s="36"/>
      <c r="K34" s="36"/>
      <c r="L34" s="36"/>
      <c r="M34" s="36"/>
      <c r="N34" s="36"/>
      <c r="O34" s="36"/>
      <c r="P34" s="36"/>
      <c r="Q34" s="36"/>
      <c r="R34" s="36"/>
    </row>
    <row r="35" spans="1:18" ht="16" thickBot="1">
      <c r="A35" s="118">
        <v>34</v>
      </c>
      <c r="B35" s="119" t="s">
        <v>186</v>
      </c>
      <c r="C35" s="113"/>
      <c r="D35" s="202"/>
      <c r="E35" s="38"/>
      <c r="F35" s="37"/>
      <c r="G35" s="36"/>
      <c r="H35" s="37"/>
      <c r="I35" s="36"/>
      <c r="J35" s="36"/>
      <c r="K35" s="36"/>
      <c r="L35" s="36"/>
      <c r="M35" s="36"/>
      <c r="N35" s="36"/>
      <c r="O35" s="36"/>
      <c r="P35" s="36"/>
      <c r="Q35" s="36"/>
      <c r="R35" s="36"/>
    </row>
    <row r="36" spans="1:18" ht="15.5">
      <c r="A36" s="105">
        <v>35</v>
      </c>
      <c r="B36" s="106" t="s">
        <v>187</v>
      </c>
      <c r="C36" s="113" t="s">
        <v>102</v>
      </c>
      <c r="D36" s="202"/>
      <c r="E36" s="38"/>
      <c r="F36" s="37"/>
      <c r="G36" s="36"/>
      <c r="H36" s="37"/>
      <c r="I36" s="36"/>
      <c r="J36" s="36"/>
      <c r="K36" s="36"/>
      <c r="L36" s="36"/>
      <c r="M36" s="36"/>
      <c r="N36" s="36"/>
      <c r="O36" s="36"/>
      <c r="P36" s="36"/>
      <c r="Q36" s="36"/>
      <c r="R36" s="36"/>
    </row>
    <row r="37" spans="1:18" ht="15.5">
      <c r="A37" s="111">
        <v>36</v>
      </c>
      <c r="B37" s="112" t="s">
        <v>188</v>
      </c>
      <c r="C37" s="113"/>
      <c r="D37" s="202"/>
      <c r="E37" s="38"/>
      <c r="F37" s="37"/>
      <c r="G37" s="36"/>
      <c r="H37" s="37"/>
      <c r="I37" s="36"/>
      <c r="J37" s="36"/>
      <c r="K37" s="36"/>
      <c r="L37" s="36"/>
      <c r="M37" s="36"/>
      <c r="N37" s="36"/>
      <c r="O37" s="36"/>
      <c r="P37" s="36"/>
      <c r="Q37" s="36"/>
      <c r="R37" s="36"/>
    </row>
    <row r="38" spans="1:18" ht="15.5">
      <c r="A38" s="111">
        <v>37</v>
      </c>
      <c r="B38" s="112" t="s">
        <v>189</v>
      </c>
      <c r="C38" s="113" t="s">
        <v>102</v>
      </c>
      <c r="D38" s="202"/>
      <c r="E38" s="38"/>
      <c r="F38" s="37"/>
      <c r="G38" s="37"/>
      <c r="H38" s="37"/>
      <c r="I38" s="36"/>
      <c r="J38" s="36"/>
      <c r="K38" s="36"/>
      <c r="L38" s="36"/>
      <c r="M38" s="36"/>
      <c r="N38" s="36"/>
      <c r="O38" s="36"/>
      <c r="P38" s="36"/>
      <c r="Q38" s="36"/>
      <c r="R38" s="36"/>
    </row>
    <row r="39" spans="1:18" ht="16" thickBot="1">
      <c r="A39" s="118">
        <v>38</v>
      </c>
      <c r="B39" s="119" t="s">
        <v>254</v>
      </c>
      <c r="C39" s="113" t="s">
        <v>102</v>
      </c>
      <c r="D39" s="202"/>
      <c r="E39" s="38"/>
      <c r="F39" s="37"/>
      <c r="G39" s="37"/>
      <c r="H39" s="37"/>
      <c r="I39" s="36"/>
      <c r="J39" s="36"/>
      <c r="K39" s="36"/>
      <c r="L39" s="36"/>
      <c r="M39" s="36"/>
      <c r="N39" s="36"/>
      <c r="O39" s="36"/>
      <c r="P39" s="36"/>
      <c r="Q39" s="36"/>
      <c r="R39" s="36"/>
    </row>
    <row r="40" spans="1:18" ht="15.5">
      <c r="A40" s="14">
        <v>39</v>
      </c>
      <c r="B40" s="34" t="s">
        <v>255</v>
      </c>
      <c r="C40" s="35"/>
      <c r="D40" s="203"/>
      <c r="E40" s="38"/>
      <c r="F40" s="37"/>
      <c r="G40" s="36"/>
      <c r="H40" s="37"/>
      <c r="I40" s="36"/>
      <c r="J40" s="36"/>
      <c r="K40" s="36"/>
      <c r="L40" s="36"/>
      <c r="M40" s="36"/>
      <c r="N40" s="36"/>
      <c r="O40" s="36"/>
      <c r="P40" s="36"/>
      <c r="Q40" s="36"/>
      <c r="R40" s="36"/>
    </row>
    <row r="41" spans="1:18" ht="15.5">
      <c r="A41" s="14">
        <v>40</v>
      </c>
      <c r="B41" s="34" t="s">
        <v>256</v>
      </c>
      <c r="C41" s="113" t="s">
        <v>102</v>
      </c>
      <c r="D41" s="225" t="s">
        <v>81</v>
      </c>
      <c r="E41" s="38"/>
      <c r="F41" s="37"/>
      <c r="G41" s="36"/>
      <c r="H41" s="37"/>
      <c r="I41" s="36"/>
      <c r="J41" s="36"/>
      <c r="K41" s="36"/>
      <c r="L41" s="36"/>
      <c r="M41" s="36"/>
      <c r="N41" s="36"/>
      <c r="O41" s="36"/>
      <c r="P41" s="36"/>
      <c r="Q41" s="36"/>
      <c r="R41" s="36"/>
    </row>
    <row r="42" spans="1:18" ht="15.5">
      <c r="A42" s="14">
        <v>41</v>
      </c>
      <c r="B42" s="34" t="s">
        <v>257</v>
      </c>
      <c r="C42" s="113" t="s">
        <v>102</v>
      </c>
      <c r="D42" s="225"/>
      <c r="E42" s="38"/>
      <c r="F42" s="37"/>
      <c r="G42" s="36"/>
      <c r="H42" s="37"/>
      <c r="I42" s="36"/>
      <c r="J42" s="36"/>
      <c r="K42" s="36"/>
      <c r="L42" s="36"/>
      <c r="M42" s="36"/>
      <c r="N42" s="36"/>
      <c r="O42" s="36"/>
      <c r="P42" s="36"/>
      <c r="Q42" s="36"/>
      <c r="R42" s="36"/>
    </row>
    <row r="43" spans="1:18" ht="15.5">
      <c r="A43" s="14">
        <v>42</v>
      </c>
      <c r="B43" s="34" t="s">
        <v>258</v>
      </c>
      <c r="C43" s="113" t="s">
        <v>102</v>
      </c>
      <c r="D43" s="225"/>
      <c r="E43" s="38"/>
      <c r="F43" s="37"/>
      <c r="G43" s="36"/>
      <c r="H43" s="37"/>
      <c r="I43" s="36"/>
      <c r="J43" s="36"/>
      <c r="K43" s="36"/>
      <c r="L43" s="36"/>
      <c r="M43" s="36"/>
      <c r="N43" s="36"/>
      <c r="O43" s="36"/>
      <c r="P43" s="36"/>
      <c r="Q43" s="36"/>
      <c r="R43" s="36"/>
    </row>
    <row r="44" spans="1:18" ht="15.5">
      <c r="A44" s="181">
        <v>43</v>
      </c>
      <c r="B44" s="34" t="s">
        <v>259</v>
      </c>
      <c r="C44" s="113" t="s">
        <v>102</v>
      </c>
      <c r="D44" s="225"/>
      <c r="E44" s="38"/>
      <c r="F44" s="37"/>
      <c r="G44" s="36"/>
      <c r="H44" s="37"/>
      <c r="I44" s="36"/>
      <c r="J44" s="36"/>
      <c r="K44" s="36"/>
      <c r="L44" s="36"/>
      <c r="M44" s="36"/>
      <c r="N44" s="36"/>
      <c r="O44" s="36"/>
      <c r="P44" s="36"/>
      <c r="Q44" s="36"/>
      <c r="R44" s="36"/>
    </row>
    <row r="45" spans="1:18" ht="15.5">
      <c r="A45" s="181">
        <v>44</v>
      </c>
      <c r="B45" s="34" t="s">
        <v>260</v>
      </c>
      <c r="C45" s="113" t="s">
        <v>102</v>
      </c>
      <c r="D45" s="225"/>
      <c r="E45" s="38"/>
      <c r="F45" s="37"/>
      <c r="G45" s="36"/>
      <c r="H45" s="37"/>
      <c r="I45" s="36"/>
      <c r="J45" s="36"/>
      <c r="K45" s="36"/>
      <c r="L45" s="36"/>
      <c r="M45" s="36"/>
      <c r="N45" s="36"/>
      <c r="O45" s="36"/>
      <c r="P45" s="36"/>
      <c r="Q45" s="36"/>
      <c r="R45" s="36"/>
    </row>
    <row r="46" spans="1:18" ht="43.5">
      <c r="A46" s="14">
        <v>45</v>
      </c>
      <c r="B46" s="13" t="s">
        <v>261</v>
      </c>
    </row>
    <row r="47" spans="1:18">
      <c r="A47" s="181">
        <v>46</v>
      </c>
      <c r="B47" s="13" t="s">
        <v>262</v>
      </c>
      <c r="C47" s="40"/>
    </row>
    <row r="48" spans="1:18" ht="33.4" customHeight="1">
      <c r="A48" s="181">
        <v>47</v>
      </c>
      <c r="B48" s="13" t="s">
        <v>263</v>
      </c>
    </row>
    <row r="49" spans="1:2" ht="43.5">
      <c r="A49" s="14">
        <v>48</v>
      </c>
      <c r="B49" s="13" t="s">
        <v>264</v>
      </c>
    </row>
    <row r="50" spans="1:2" ht="29">
      <c r="A50" s="181">
        <v>49</v>
      </c>
      <c r="B50" s="13" t="s">
        <v>265</v>
      </c>
    </row>
    <row r="51" spans="1:2" ht="29">
      <c r="A51" s="181">
        <v>50</v>
      </c>
      <c r="B51" s="13" t="s">
        <v>266</v>
      </c>
    </row>
    <row r="52" spans="1:2">
      <c r="A52" s="14">
        <v>51</v>
      </c>
      <c r="B52" s="42" t="s">
        <v>267</v>
      </c>
    </row>
    <row r="53" spans="1:2">
      <c r="A53" s="181">
        <v>52</v>
      </c>
      <c r="B53" s="42" t="s">
        <v>268</v>
      </c>
    </row>
    <row r="54" spans="1:2" ht="22.5" customHeight="1">
      <c r="A54" s="181">
        <v>53</v>
      </c>
      <c r="B54" s="124" t="s">
        <v>269</v>
      </c>
    </row>
    <row r="55" spans="1:2">
      <c r="A55" s="14">
        <v>54</v>
      </c>
      <c r="B55" s="37" t="s">
        <v>194</v>
      </c>
    </row>
  </sheetData>
  <sheetProtection algorithmName="SHA-512" hashValue="EIwHGGxoSiwJDfdN91j2VnrSxQA05QEpL//BTXQTZYnhJTDn78jdGxD2wZTv6ZQyWr3RX0aNwvLqMB/V2ejZOA==" saltValue="tasjdL+HaUylVyzFWJzAcw==" spinCount="100000" sheet="1" objects="1" scenarios="1" formatCells="0"/>
  <mergeCells count="6">
    <mergeCell ref="D41:D45"/>
    <mergeCell ref="D2:D13"/>
    <mergeCell ref="D14:D16"/>
    <mergeCell ref="D17:D21"/>
    <mergeCell ref="D22:D31"/>
    <mergeCell ref="D32:D40"/>
  </mergeCells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16"/>
  <sheetViews>
    <sheetView workbookViewId="0">
      <pane ySplit="1" topLeftCell="A2" activePane="bottomLeft" state="frozen"/>
      <selection activeCell="B57" sqref="B57"/>
      <selection pane="bottomLeft" activeCell="A2" sqref="A2"/>
    </sheetView>
  </sheetViews>
  <sheetFormatPr defaultRowHeight="14.5"/>
  <cols>
    <col min="1" max="1" width="24.81640625" customWidth="1"/>
    <col min="2" max="2" width="19" customWidth="1"/>
    <col min="3" max="3" width="14.7265625" customWidth="1"/>
    <col min="4" max="4" width="16" customWidth="1"/>
    <col min="5" max="5" width="9.26953125" style="1"/>
    <col min="6" max="6" width="21.26953125" customWidth="1"/>
  </cols>
  <sheetData>
    <row r="1" spans="1:6" s="2" customFormat="1">
      <c r="A1" s="2" t="s">
        <v>7</v>
      </c>
      <c r="B1" s="2" t="s">
        <v>8</v>
      </c>
      <c r="C1" s="2" t="s">
        <v>9</v>
      </c>
      <c r="D1" s="2" t="s">
        <v>10</v>
      </c>
      <c r="E1" s="3"/>
      <c r="F1" s="2" t="s">
        <v>128</v>
      </c>
    </row>
    <row r="2" spans="1:6">
      <c r="A2" t="s">
        <v>11</v>
      </c>
      <c r="B2" t="s">
        <v>12</v>
      </c>
      <c r="C2" t="s">
        <v>26</v>
      </c>
      <c r="E2"/>
    </row>
    <row r="3" spans="1:6">
      <c r="A3" t="s">
        <v>13</v>
      </c>
      <c r="B3" t="s">
        <v>14</v>
      </c>
      <c r="C3" t="s">
        <v>28</v>
      </c>
      <c r="E3"/>
    </row>
    <row r="4" spans="1:6">
      <c r="A4" t="s">
        <v>15</v>
      </c>
      <c r="B4" t="s">
        <v>16</v>
      </c>
      <c r="C4" t="s">
        <v>85</v>
      </c>
      <c r="E4"/>
    </row>
    <row r="5" spans="1:6">
      <c r="A5" t="s">
        <v>17</v>
      </c>
      <c r="B5" t="s">
        <v>18</v>
      </c>
      <c r="C5" t="s">
        <v>89</v>
      </c>
      <c r="E5"/>
    </row>
    <row r="6" spans="1:6">
      <c r="A6" t="s">
        <v>118</v>
      </c>
      <c r="B6" t="s">
        <v>19</v>
      </c>
      <c r="C6" t="s">
        <v>30</v>
      </c>
      <c r="E6"/>
    </row>
    <row r="7" spans="1:6">
      <c r="B7" t="s">
        <v>270</v>
      </c>
      <c r="C7" t="s">
        <v>32</v>
      </c>
      <c r="E7"/>
    </row>
    <row r="8" spans="1:6">
      <c r="B8" t="s">
        <v>20</v>
      </c>
      <c r="C8" t="s">
        <v>34</v>
      </c>
      <c r="E8"/>
    </row>
    <row r="9" spans="1:6">
      <c r="B9" t="s">
        <v>21</v>
      </c>
      <c r="C9" t="s">
        <v>36</v>
      </c>
      <c r="E9"/>
    </row>
    <row r="10" spans="1:6">
      <c r="B10" t="s">
        <v>22</v>
      </c>
      <c r="C10" t="s">
        <v>38</v>
      </c>
      <c r="E10"/>
    </row>
    <row r="11" spans="1:6">
      <c r="B11" t="s">
        <v>23</v>
      </c>
      <c r="C11" t="s">
        <v>40</v>
      </c>
      <c r="E11"/>
    </row>
    <row r="12" spans="1:6">
      <c r="B12" t="s">
        <v>24</v>
      </c>
      <c r="C12" t="s">
        <v>41</v>
      </c>
      <c r="E12"/>
    </row>
    <row r="13" spans="1:6">
      <c r="B13" t="s">
        <v>25</v>
      </c>
      <c r="C13" t="s">
        <v>43</v>
      </c>
      <c r="E13"/>
    </row>
    <row r="14" spans="1:6">
      <c r="B14" t="s">
        <v>27</v>
      </c>
      <c r="C14" t="s">
        <v>45</v>
      </c>
      <c r="E14"/>
    </row>
    <row r="15" spans="1:6">
      <c r="B15" t="s">
        <v>29</v>
      </c>
      <c r="C15" t="s">
        <v>47</v>
      </c>
      <c r="E15"/>
    </row>
    <row r="16" spans="1:6">
      <c r="B16" t="s">
        <v>31</v>
      </c>
      <c r="C16" t="s">
        <v>49</v>
      </c>
      <c r="E16"/>
    </row>
    <row r="17" spans="2:5">
      <c r="B17" t="s">
        <v>33</v>
      </c>
      <c r="C17" t="s">
        <v>51</v>
      </c>
      <c r="E17"/>
    </row>
    <row r="18" spans="2:5">
      <c r="B18" t="s">
        <v>35</v>
      </c>
      <c r="C18" t="s">
        <v>53</v>
      </c>
      <c r="E18"/>
    </row>
    <row r="19" spans="2:5">
      <c r="B19" t="s">
        <v>37</v>
      </c>
      <c r="C19" t="s">
        <v>90</v>
      </c>
      <c r="E19"/>
    </row>
    <row r="20" spans="2:5">
      <c r="B20" t="s">
        <v>39</v>
      </c>
      <c r="C20" t="s">
        <v>86</v>
      </c>
      <c r="E20"/>
    </row>
    <row r="21" spans="2:5">
      <c r="B21" t="s">
        <v>149</v>
      </c>
      <c r="C21" t="s">
        <v>55</v>
      </c>
      <c r="E21"/>
    </row>
    <row r="22" spans="2:5">
      <c r="B22" t="s">
        <v>42</v>
      </c>
      <c r="C22" t="s">
        <v>57</v>
      </c>
      <c r="E22"/>
    </row>
    <row r="23" spans="2:5">
      <c r="B23" t="s">
        <v>44</v>
      </c>
      <c r="C23" t="s">
        <v>59</v>
      </c>
      <c r="E23"/>
    </row>
    <row r="24" spans="2:5">
      <c r="B24" t="s">
        <v>46</v>
      </c>
      <c r="C24" t="s">
        <v>61</v>
      </c>
      <c r="E24"/>
    </row>
    <row r="25" spans="2:5">
      <c r="B25" t="s">
        <v>48</v>
      </c>
      <c r="C25" t="s">
        <v>63</v>
      </c>
      <c r="E25"/>
    </row>
    <row r="26" spans="2:5">
      <c r="B26" t="s">
        <v>50</v>
      </c>
      <c r="C26" t="s">
        <v>65</v>
      </c>
      <c r="E26"/>
    </row>
    <row r="27" spans="2:5">
      <c r="B27" t="s">
        <v>52</v>
      </c>
      <c r="C27" t="s">
        <v>67</v>
      </c>
      <c r="E27"/>
    </row>
    <row r="28" spans="2:5">
      <c r="B28" t="s">
        <v>54</v>
      </c>
      <c r="C28" t="s">
        <v>104</v>
      </c>
      <c r="E28"/>
    </row>
    <row r="29" spans="2:5">
      <c r="B29" t="s">
        <v>56</v>
      </c>
      <c r="C29" t="s">
        <v>70</v>
      </c>
      <c r="E29"/>
    </row>
    <row r="30" spans="2:5">
      <c r="B30" t="s">
        <v>58</v>
      </c>
      <c r="C30" t="s">
        <v>72</v>
      </c>
      <c r="E30"/>
    </row>
    <row r="31" spans="2:5">
      <c r="B31" t="s">
        <v>60</v>
      </c>
      <c r="C31" t="s">
        <v>74</v>
      </c>
      <c r="E31"/>
    </row>
    <row r="32" spans="2:5">
      <c r="B32" t="s">
        <v>62</v>
      </c>
      <c r="C32" t="s">
        <v>75</v>
      </c>
      <c r="E32"/>
    </row>
    <row r="33" spans="2:5">
      <c r="B33" t="s">
        <v>64</v>
      </c>
      <c r="C33" t="s">
        <v>91</v>
      </c>
      <c r="E33"/>
    </row>
    <row r="34" spans="2:5">
      <c r="B34" t="s">
        <v>66</v>
      </c>
      <c r="C34" t="s">
        <v>92</v>
      </c>
      <c r="E34"/>
    </row>
    <row r="35" spans="2:5">
      <c r="B35" t="s">
        <v>68</v>
      </c>
      <c r="C35" t="s">
        <v>93</v>
      </c>
      <c r="E35"/>
    </row>
    <row r="36" spans="2:5">
      <c r="B36" t="s">
        <v>69</v>
      </c>
      <c r="C36" t="s">
        <v>87</v>
      </c>
      <c r="E36"/>
    </row>
    <row r="37" spans="2:5">
      <c r="B37" t="s">
        <v>71</v>
      </c>
      <c r="C37" t="s">
        <v>94</v>
      </c>
      <c r="E37"/>
    </row>
    <row r="38" spans="2:5">
      <c r="B38" t="s">
        <v>73</v>
      </c>
      <c r="C38" t="s">
        <v>88</v>
      </c>
      <c r="E38"/>
    </row>
    <row r="39" spans="2:5">
      <c r="B39" t="s">
        <v>271</v>
      </c>
      <c r="C39" t="s">
        <v>96</v>
      </c>
      <c r="E39"/>
    </row>
    <row r="40" spans="2:5">
      <c r="B40" t="s">
        <v>272</v>
      </c>
      <c r="C40" t="s">
        <v>97</v>
      </c>
      <c r="E40"/>
    </row>
    <row r="41" spans="2:5">
      <c r="B41" t="s">
        <v>273</v>
      </c>
      <c r="C41" t="s">
        <v>98</v>
      </c>
      <c r="E41"/>
    </row>
    <row r="42" spans="2:5">
      <c r="B42" t="s">
        <v>274</v>
      </c>
      <c r="C42" t="s">
        <v>99</v>
      </c>
      <c r="E42"/>
    </row>
    <row r="43" spans="2:5">
      <c r="B43" t="s">
        <v>275</v>
      </c>
      <c r="C43" t="s">
        <v>100</v>
      </c>
      <c r="E43"/>
    </row>
    <row r="44" spans="2:5">
      <c r="B44" t="s">
        <v>276</v>
      </c>
      <c r="C44" t="s">
        <v>278</v>
      </c>
      <c r="E44"/>
    </row>
    <row r="45" spans="2:5">
      <c r="B45" t="s">
        <v>277</v>
      </c>
      <c r="C45" t="s">
        <v>279</v>
      </c>
      <c r="E45"/>
    </row>
    <row r="46" spans="2:5">
      <c r="B46" t="s">
        <v>76</v>
      </c>
      <c r="C46" t="s">
        <v>101</v>
      </c>
      <c r="D46" t="s">
        <v>150</v>
      </c>
      <c r="E46"/>
    </row>
    <row r="47" spans="2:5">
      <c r="B47" t="s">
        <v>77</v>
      </c>
      <c r="C47" t="s">
        <v>151</v>
      </c>
      <c r="D47" t="s">
        <v>280</v>
      </c>
      <c r="E47"/>
    </row>
    <row r="48" spans="2:5">
      <c r="B48" t="s">
        <v>78</v>
      </c>
      <c r="C48" t="s">
        <v>281</v>
      </c>
      <c r="D48" t="s">
        <v>152</v>
      </c>
      <c r="E48"/>
    </row>
    <row r="49" spans="2:5">
      <c r="B49" t="s">
        <v>79</v>
      </c>
      <c r="C49" t="s">
        <v>282</v>
      </c>
      <c r="D49" t="s">
        <v>283</v>
      </c>
      <c r="E49"/>
    </row>
    <row r="50" spans="2:5">
      <c r="B50" t="s">
        <v>80</v>
      </c>
      <c r="C50" t="s">
        <v>284</v>
      </c>
      <c r="D50" t="s">
        <v>153</v>
      </c>
      <c r="E50"/>
    </row>
    <row r="51" spans="2:5">
      <c r="B51" t="s">
        <v>81</v>
      </c>
      <c r="C51" t="s">
        <v>285</v>
      </c>
      <c r="D51" t="s">
        <v>286</v>
      </c>
      <c r="E51"/>
    </row>
    <row r="52" spans="2:5">
      <c r="B52" t="s">
        <v>190</v>
      </c>
      <c r="C52" t="s">
        <v>106</v>
      </c>
      <c r="E52"/>
    </row>
    <row r="53" spans="2:5">
      <c r="B53" t="s">
        <v>191</v>
      </c>
      <c r="C53" t="s">
        <v>107</v>
      </c>
      <c r="E53"/>
    </row>
    <row r="54" spans="2:5">
      <c r="B54" t="s">
        <v>192</v>
      </c>
      <c r="C54" t="s">
        <v>108</v>
      </c>
      <c r="E54"/>
    </row>
    <row r="55" spans="2:5">
      <c r="B55" t="s">
        <v>193</v>
      </c>
      <c r="C55" t="s">
        <v>109</v>
      </c>
      <c r="E55"/>
    </row>
    <row r="56" spans="2:5">
      <c r="E56"/>
    </row>
    <row r="57" spans="2:5">
      <c r="E57"/>
    </row>
    <row r="58" spans="2:5">
      <c r="E58"/>
    </row>
    <row r="59" spans="2:5">
      <c r="E59"/>
    </row>
    <row r="60" spans="2:5">
      <c r="E60"/>
    </row>
    <row r="61" spans="2:5">
      <c r="E61"/>
    </row>
    <row r="62" spans="2:5">
      <c r="E62"/>
    </row>
    <row r="63" spans="2:5">
      <c r="E63"/>
    </row>
    <row r="64" spans="2:5">
      <c r="E64"/>
    </row>
    <row r="65" spans="5:5">
      <c r="E65"/>
    </row>
    <row r="66" spans="5:5">
      <c r="E66"/>
    </row>
    <row r="67" spans="5:5">
      <c r="E67"/>
    </row>
    <row r="68" spans="5:5">
      <c r="E68"/>
    </row>
    <row r="69" spans="5:5">
      <c r="E69"/>
    </row>
    <row r="70" spans="5:5">
      <c r="E70"/>
    </row>
    <row r="71" spans="5:5">
      <c r="E71"/>
    </row>
    <row r="72" spans="5:5">
      <c r="E72"/>
    </row>
    <row r="73" spans="5:5">
      <c r="E73"/>
    </row>
    <row r="74" spans="5:5">
      <c r="E74"/>
    </row>
    <row r="75" spans="5:5">
      <c r="E75"/>
    </row>
    <row r="76" spans="5:5">
      <c r="E76"/>
    </row>
    <row r="77" spans="5:5">
      <c r="E77"/>
    </row>
    <row r="78" spans="5:5">
      <c r="E78"/>
    </row>
    <row r="79" spans="5:5">
      <c r="E79"/>
    </row>
    <row r="80" spans="5:5">
      <c r="E80"/>
    </row>
    <row r="81" spans="5:5">
      <c r="E81"/>
    </row>
    <row r="82" spans="5:5">
      <c r="E82"/>
    </row>
    <row r="83" spans="5:5">
      <c r="E83"/>
    </row>
    <row r="84" spans="5:5">
      <c r="E84"/>
    </row>
    <row r="85" spans="5:5">
      <c r="E85"/>
    </row>
    <row r="86" spans="5:5">
      <c r="E86"/>
    </row>
    <row r="87" spans="5:5">
      <c r="E87"/>
    </row>
    <row r="88" spans="5:5">
      <c r="E88"/>
    </row>
    <row r="89" spans="5:5">
      <c r="E89"/>
    </row>
    <row r="90" spans="5:5">
      <c r="E90"/>
    </row>
    <row r="91" spans="5:5">
      <c r="E91"/>
    </row>
    <row r="92" spans="5:5">
      <c r="E92"/>
    </row>
    <row r="93" spans="5:5">
      <c r="E93"/>
    </row>
    <row r="94" spans="5:5">
      <c r="E94"/>
    </row>
    <row r="95" spans="5:5">
      <c r="E95"/>
    </row>
    <row r="96" spans="5:5">
      <c r="E96"/>
    </row>
    <row r="97" spans="5:5">
      <c r="E97"/>
    </row>
    <row r="98" spans="5:5">
      <c r="E98"/>
    </row>
    <row r="99" spans="5:5">
      <c r="E99"/>
    </row>
    <row r="100" spans="5:5">
      <c r="E100"/>
    </row>
    <row r="101" spans="5:5">
      <c r="E101"/>
    </row>
    <row r="102" spans="5:5">
      <c r="E102"/>
    </row>
    <row r="103" spans="5:5">
      <c r="E103"/>
    </row>
    <row r="104" spans="5:5">
      <c r="E104"/>
    </row>
    <row r="105" spans="5:5">
      <c r="E105"/>
    </row>
    <row r="106" spans="5:5">
      <c r="E106"/>
    </row>
    <row r="107" spans="5:5">
      <c r="E107"/>
    </row>
    <row r="108" spans="5:5">
      <c r="E108"/>
    </row>
    <row r="109" spans="5:5">
      <c r="E109"/>
    </row>
    <row r="110" spans="5:5">
      <c r="E110"/>
    </row>
    <row r="111" spans="5:5">
      <c r="E111"/>
    </row>
    <row r="112" spans="5:5">
      <c r="E112"/>
    </row>
    <row r="113" spans="5:5">
      <c r="E113"/>
    </row>
    <row r="114" spans="5:5">
      <c r="E114"/>
    </row>
    <row r="115" spans="5:5">
      <c r="E115"/>
    </row>
    <row r="116" spans="5:5">
      <c r="E116"/>
    </row>
  </sheetData>
  <sheetProtection algorithmName="SHA-512" hashValue="dLXmvW8aYlVZCGH/zrAdil+7eng4OVKKdeBr67gEhlboihfs6HqvMAaF7erpqSclwy7afa2GaSoTjFZJ6whTUA==" saltValue="6Kt8NjfdyZEzNe4WyQykBA==" spinCount="100000" sheet="1" objects="1" scenarios="1" formatCells="0"/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9"/>
  <sheetViews>
    <sheetView topLeftCell="A4" workbookViewId="0">
      <selection activeCell="D14" sqref="D14"/>
    </sheetView>
  </sheetViews>
  <sheetFormatPr defaultRowHeight="14.5"/>
  <cols>
    <col min="1" max="1" width="17.81640625" style="30" customWidth="1"/>
    <col min="2" max="2" width="18.7265625" customWidth="1"/>
    <col min="3" max="3" width="18.26953125" customWidth="1"/>
    <col min="4" max="4" width="18.7265625" customWidth="1"/>
  </cols>
  <sheetData>
    <row r="1" spans="1:3">
      <c r="A1" t="s">
        <v>111</v>
      </c>
      <c r="B1" t="s">
        <v>112</v>
      </c>
      <c r="C1" t="s">
        <v>113</v>
      </c>
    </row>
    <row r="2" spans="1:3">
      <c r="A2" s="30" t="s">
        <v>292</v>
      </c>
      <c r="B2" t="s">
        <v>12</v>
      </c>
      <c r="C2" t="s">
        <v>0</v>
      </c>
    </row>
    <row r="3" spans="1:3">
      <c r="A3" s="30" t="s">
        <v>292</v>
      </c>
      <c r="B3" t="s">
        <v>14</v>
      </c>
      <c r="C3" t="s">
        <v>0</v>
      </c>
    </row>
    <row r="4" spans="1:3">
      <c r="A4" s="30" t="s">
        <v>292</v>
      </c>
      <c r="B4" t="s">
        <v>16</v>
      </c>
      <c r="C4" t="s">
        <v>2</v>
      </c>
    </row>
    <row r="5" spans="1:3">
      <c r="A5" s="30" t="s">
        <v>292</v>
      </c>
      <c r="B5" t="s">
        <v>18</v>
      </c>
      <c r="C5" t="s">
        <v>2</v>
      </c>
    </row>
    <row r="6" spans="1:3">
      <c r="A6" s="30" t="s">
        <v>292</v>
      </c>
      <c r="B6" t="s">
        <v>19</v>
      </c>
      <c r="C6" t="s">
        <v>0</v>
      </c>
    </row>
    <row r="7" spans="1:3">
      <c r="A7" s="30" t="s">
        <v>292</v>
      </c>
      <c r="B7" t="s">
        <v>270</v>
      </c>
      <c r="C7" t="s">
        <v>0</v>
      </c>
    </row>
    <row r="8" spans="1:3">
      <c r="A8" s="30" t="s">
        <v>292</v>
      </c>
      <c r="B8" t="s">
        <v>20</v>
      </c>
      <c r="C8" t="s">
        <v>95</v>
      </c>
    </row>
    <row r="9" spans="1:3">
      <c r="A9" s="30" t="s">
        <v>292</v>
      </c>
      <c r="B9" t="s">
        <v>21</v>
      </c>
      <c r="C9" t="s">
        <v>0</v>
      </c>
    </row>
    <row r="10" spans="1:3">
      <c r="A10" s="30" t="s">
        <v>292</v>
      </c>
      <c r="B10" t="s">
        <v>22</v>
      </c>
      <c r="C10" t="s">
        <v>0</v>
      </c>
    </row>
    <row r="11" spans="1:3">
      <c r="A11" s="30" t="s">
        <v>292</v>
      </c>
      <c r="B11" t="s">
        <v>23</v>
      </c>
      <c r="C11" t="s">
        <v>2</v>
      </c>
    </row>
    <row r="12" spans="1:3">
      <c r="A12" s="30" t="s">
        <v>292</v>
      </c>
      <c r="B12" t="s">
        <v>24</v>
      </c>
      <c r="C12" t="s">
        <v>0</v>
      </c>
    </row>
    <row r="13" spans="1:3">
      <c r="A13" s="30" t="s">
        <v>292</v>
      </c>
      <c r="B13" t="s">
        <v>25</v>
      </c>
      <c r="C13" t="s">
        <v>95</v>
      </c>
    </row>
    <row r="14" spans="1:3">
      <c r="A14" s="30" t="s">
        <v>292</v>
      </c>
      <c r="B14" t="s">
        <v>27</v>
      </c>
      <c r="C14" t="s">
        <v>2</v>
      </c>
    </row>
    <row r="15" spans="1:3">
      <c r="A15" s="30" t="s">
        <v>292</v>
      </c>
      <c r="B15" t="s">
        <v>29</v>
      </c>
      <c r="C15" t="s">
        <v>2</v>
      </c>
    </row>
    <row r="16" spans="1:3">
      <c r="A16" s="30" t="s">
        <v>292</v>
      </c>
      <c r="B16" t="s">
        <v>31</v>
      </c>
      <c r="C16" t="s">
        <v>2</v>
      </c>
    </row>
    <row r="17" spans="1:3">
      <c r="A17" s="30" t="s">
        <v>292</v>
      </c>
      <c r="B17" t="s">
        <v>33</v>
      </c>
      <c r="C17" t="s">
        <v>0</v>
      </c>
    </row>
    <row r="18" spans="1:3">
      <c r="A18" s="30" t="s">
        <v>292</v>
      </c>
      <c r="B18" t="s">
        <v>35</v>
      </c>
      <c r="C18" t="s">
        <v>2</v>
      </c>
    </row>
    <row r="19" spans="1:3">
      <c r="A19" s="30" t="s">
        <v>292</v>
      </c>
      <c r="B19" t="s">
        <v>37</v>
      </c>
      <c r="C19" t="s">
        <v>2</v>
      </c>
    </row>
    <row r="20" spans="1:3">
      <c r="A20" s="30" t="s">
        <v>292</v>
      </c>
      <c r="B20" t="s">
        <v>39</v>
      </c>
      <c r="C20" t="s">
        <v>0</v>
      </c>
    </row>
    <row r="21" spans="1:3">
      <c r="A21" s="30" t="s">
        <v>292</v>
      </c>
      <c r="B21" t="s">
        <v>149</v>
      </c>
      <c r="C21" t="s">
        <v>2</v>
      </c>
    </row>
    <row r="22" spans="1:3">
      <c r="A22" s="30" t="s">
        <v>292</v>
      </c>
      <c r="B22" t="s">
        <v>42</v>
      </c>
      <c r="C22" t="s">
        <v>95</v>
      </c>
    </row>
    <row r="23" spans="1:3">
      <c r="A23" s="30" t="s">
        <v>292</v>
      </c>
      <c r="B23" t="s">
        <v>44</v>
      </c>
      <c r="C23" t="s">
        <v>95</v>
      </c>
    </row>
    <row r="24" spans="1:3">
      <c r="A24" s="30" t="s">
        <v>292</v>
      </c>
      <c r="B24" t="s">
        <v>46</v>
      </c>
      <c r="C24" t="s">
        <v>0</v>
      </c>
    </row>
    <row r="25" spans="1:3">
      <c r="A25" s="30" t="s">
        <v>292</v>
      </c>
      <c r="B25" t="s">
        <v>48</v>
      </c>
      <c r="C25" t="s">
        <v>0</v>
      </c>
    </row>
    <row r="26" spans="1:3">
      <c r="A26" s="30" t="s">
        <v>292</v>
      </c>
      <c r="B26" t="s">
        <v>50</v>
      </c>
      <c r="C26" t="s">
        <v>0</v>
      </c>
    </row>
    <row r="27" spans="1:3">
      <c r="A27" s="30" t="s">
        <v>292</v>
      </c>
      <c r="B27" t="s">
        <v>52</v>
      </c>
      <c r="C27" t="s">
        <v>0</v>
      </c>
    </row>
    <row r="28" spans="1:3">
      <c r="A28" s="30" t="s">
        <v>292</v>
      </c>
      <c r="B28" t="s">
        <v>54</v>
      </c>
      <c r="C28" t="s">
        <v>0</v>
      </c>
    </row>
    <row r="29" spans="1:3">
      <c r="A29" s="30" t="s">
        <v>292</v>
      </c>
      <c r="B29" t="s">
        <v>56</v>
      </c>
      <c r="C29" t="s">
        <v>2</v>
      </c>
    </row>
    <row r="30" spans="1:3">
      <c r="A30" s="30" t="s">
        <v>292</v>
      </c>
      <c r="B30" t="s">
        <v>58</v>
      </c>
      <c r="C30" t="s">
        <v>0</v>
      </c>
    </row>
    <row r="31" spans="1:3">
      <c r="A31" s="30" t="s">
        <v>292</v>
      </c>
      <c r="B31" t="s">
        <v>60</v>
      </c>
      <c r="C31" t="s">
        <v>0</v>
      </c>
    </row>
    <row r="32" spans="1:3">
      <c r="A32" s="30" t="s">
        <v>292</v>
      </c>
      <c r="B32" t="s">
        <v>62</v>
      </c>
      <c r="C32" t="s">
        <v>0</v>
      </c>
    </row>
    <row r="33" spans="1:3">
      <c r="A33" s="30" t="s">
        <v>292</v>
      </c>
      <c r="B33" t="s">
        <v>64</v>
      </c>
      <c r="C33" t="s">
        <v>0</v>
      </c>
    </row>
    <row r="34" spans="1:3">
      <c r="A34" s="30" t="s">
        <v>292</v>
      </c>
      <c r="B34" t="s">
        <v>66</v>
      </c>
      <c r="C34" t="s">
        <v>2</v>
      </c>
    </row>
    <row r="35" spans="1:3">
      <c r="A35" s="30" t="s">
        <v>292</v>
      </c>
      <c r="B35" t="s">
        <v>68</v>
      </c>
      <c r="C35" t="s">
        <v>2</v>
      </c>
    </row>
    <row r="36" spans="1:3">
      <c r="A36" s="30" t="s">
        <v>292</v>
      </c>
      <c r="B36" t="s">
        <v>69</v>
      </c>
      <c r="C36" t="s">
        <v>0</v>
      </c>
    </row>
    <row r="37" spans="1:3">
      <c r="A37" s="30" t="s">
        <v>292</v>
      </c>
      <c r="B37" t="s">
        <v>71</v>
      </c>
      <c r="C37" t="s">
        <v>2</v>
      </c>
    </row>
    <row r="38" spans="1:3">
      <c r="A38" s="30" t="s">
        <v>292</v>
      </c>
      <c r="B38" t="s">
        <v>73</v>
      </c>
      <c r="C38" t="s">
        <v>0</v>
      </c>
    </row>
    <row r="39" spans="1:3">
      <c r="A39" s="30" t="s">
        <v>292</v>
      </c>
      <c r="B39" t="s">
        <v>271</v>
      </c>
      <c r="C39" t="s">
        <v>0</v>
      </c>
    </row>
    <row r="40" spans="1:3">
      <c r="A40" s="30" t="s">
        <v>292</v>
      </c>
      <c r="B40" t="s">
        <v>272</v>
      </c>
      <c r="C40" t="s">
        <v>0</v>
      </c>
    </row>
    <row r="41" spans="1:3">
      <c r="A41" s="30" t="s">
        <v>292</v>
      </c>
      <c r="B41" t="s">
        <v>273</v>
      </c>
      <c r="C41" t="s">
        <v>0</v>
      </c>
    </row>
    <row r="42" spans="1:3">
      <c r="A42" s="30" t="s">
        <v>292</v>
      </c>
      <c r="B42" t="s">
        <v>274</v>
      </c>
      <c r="C42" t="s">
        <v>0</v>
      </c>
    </row>
    <row r="43" spans="1:3">
      <c r="A43" s="30" t="s">
        <v>292</v>
      </c>
      <c r="B43" t="s">
        <v>275</v>
      </c>
      <c r="C43" t="s">
        <v>0</v>
      </c>
    </row>
    <row r="44" spans="1:3">
      <c r="A44" s="30" t="s">
        <v>292</v>
      </c>
      <c r="B44" t="s">
        <v>276</v>
      </c>
      <c r="C44" t="s">
        <v>2</v>
      </c>
    </row>
    <row r="45" spans="1:3">
      <c r="A45" s="30" t="s">
        <v>292</v>
      </c>
      <c r="B45" t="s">
        <v>277</v>
      </c>
      <c r="C45" t="s">
        <v>2</v>
      </c>
    </row>
    <row r="46" spans="1:3">
      <c r="A46" s="30" t="s">
        <v>292</v>
      </c>
      <c r="B46" t="s">
        <v>190</v>
      </c>
      <c r="C46" s="185">
        <v>0.81</v>
      </c>
    </row>
    <row r="47" spans="1:3">
      <c r="A47" s="30" t="s">
        <v>292</v>
      </c>
      <c r="B47" t="s">
        <v>191</v>
      </c>
      <c r="C47" s="185">
        <v>0.73</v>
      </c>
    </row>
    <row r="48" spans="1:3">
      <c r="A48" s="30" t="s">
        <v>292</v>
      </c>
      <c r="B48" t="s">
        <v>192</v>
      </c>
      <c r="C48" s="185">
        <v>0.62</v>
      </c>
    </row>
    <row r="49" spans="1:3">
      <c r="A49" s="30" t="s">
        <v>292</v>
      </c>
      <c r="B49" t="s">
        <v>193</v>
      </c>
      <c r="C49" s="185">
        <v>0.74</v>
      </c>
    </row>
  </sheetData>
  <sheetProtection algorithmName="SHA-512" hashValue="oXosG+gBNxjRDHy1mPyZJN0WqLjR/DFpFDHsTDLIEiRSiLfmX4X1t3WE96tK0lHLF0IPOowc+b8i4rZayjSlGw==" saltValue="41/WCOC+98Fxc90A/3qM9A==" spinCount="100000" sheet="1" objects="1" scenarios="1" formatCells="0"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50</vt:i4>
      </vt:variant>
    </vt:vector>
  </HeadingPairs>
  <TitlesOfParts>
    <vt:vector size="59" baseType="lpstr">
      <vt:lpstr>RuleResultStore</vt:lpstr>
      <vt:lpstr>Checklist</vt:lpstr>
      <vt:lpstr>ResultMetadata</vt:lpstr>
      <vt:lpstr>InputOptions</vt:lpstr>
      <vt:lpstr>QtyScoreRule</vt:lpstr>
      <vt:lpstr>MainMenu</vt:lpstr>
      <vt:lpstr>RuleStore</vt:lpstr>
      <vt:lpstr>RuleMetadata</vt:lpstr>
      <vt:lpstr>PaperReviewStore</vt:lpstr>
      <vt:lpstr>item1</vt:lpstr>
      <vt:lpstr>item10</vt:lpstr>
      <vt:lpstr>item11</vt:lpstr>
      <vt:lpstr>item12</vt:lpstr>
      <vt:lpstr>item13</vt:lpstr>
      <vt:lpstr>item14</vt:lpstr>
      <vt:lpstr>item15</vt:lpstr>
      <vt:lpstr>item16</vt:lpstr>
      <vt:lpstr>item17</vt:lpstr>
      <vt:lpstr>item18</vt:lpstr>
      <vt:lpstr>item19</vt:lpstr>
      <vt:lpstr>item2</vt:lpstr>
      <vt:lpstr>item20</vt:lpstr>
      <vt:lpstr>item21</vt:lpstr>
      <vt:lpstr>item22</vt:lpstr>
      <vt:lpstr>item23</vt:lpstr>
      <vt:lpstr>item24</vt:lpstr>
      <vt:lpstr>item25</vt:lpstr>
      <vt:lpstr>item26</vt:lpstr>
      <vt:lpstr>item27</vt:lpstr>
      <vt:lpstr>item28</vt:lpstr>
      <vt:lpstr>item29</vt:lpstr>
      <vt:lpstr>item3</vt:lpstr>
      <vt:lpstr>item30</vt:lpstr>
      <vt:lpstr>item31</vt:lpstr>
      <vt:lpstr>item32</vt:lpstr>
      <vt:lpstr>item33</vt:lpstr>
      <vt:lpstr>item34</vt:lpstr>
      <vt:lpstr>item35</vt:lpstr>
      <vt:lpstr>item36</vt:lpstr>
      <vt:lpstr>item37</vt:lpstr>
      <vt:lpstr>item38</vt:lpstr>
      <vt:lpstr>item39</vt:lpstr>
      <vt:lpstr>item4</vt:lpstr>
      <vt:lpstr>item40</vt:lpstr>
      <vt:lpstr>item41</vt:lpstr>
      <vt:lpstr>item42</vt:lpstr>
      <vt:lpstr>item43</vt:lpstr>
      <vt:lpstr>item44</vt:lpstr>
      <vt:lpstr>item5</vt:lpstr>
      <vt:lpstr>item6</vt:lpstr>
      <vt:lpstr>item6.1</vt:lpstr>
      <vt:lpstr>item6.2</vt:lpstr>
      <vt:lpstr>item6.3</vt:lpstr>
      <vt:lpstr>item6.4</vt:lpstr>
      <vt:lpstr>item6.5</vt:lpstr>
      <vt:lpstr>item6.6</vt:lpstr>
      <vt:lpstr>item7</vt:lpstr>
      <vt:lpstr>item8</vt:lpstr>
      <vt:lpstr>item9</vt:lpstr>
    </vt:vector>
  </TitlesOfParts>
  <Company>University of Manchester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florezo</dc:creator>
  <cp:lastModifiedBy>florezo</cp:lastModifiedBy>
  <dcterms:created xsi:type="dcterms:W3CDTF">2014-03-25T11:04:11Z</dcterms:created>
  <dcterms:modified xsi:type="dcterms:W3CDTF">2015-04-15T10:25:14Z</dcterms:modified>
</cp:coreProperties>
</file>